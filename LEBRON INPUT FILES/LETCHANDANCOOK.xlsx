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rahul\Downloads\"/>
    </mc:Choice>
  </mc:AlternateContent>
  <xr:revisionPtr revIDLastSave="0" documentId="8_{DDE4F259-8D1E-48DC-8713-D3ECD0FE760A}" xr6:coauthVersionLast="47" xr6:coauthVersionMax="47" xr10:uidLastSave="{00000000-0000-0000-0000-000000000000}"/>
  <bookViews>
    <workbookView xWindow="-108" yWindow="-108" windowWidth="23256" windowHeight="12456" xr2:uid="{00000000-000D-0000-FFFF-FFFF00000000}"/>
    <workbookView xWindow="-108" yWindow="-108" windowWidth="23256" windowHeight="12456" xr2:uid="{00000000-000D-0000-FFFF-FFFF01000000}"/>
  </bookViews>
  <sheets>
    <sheet name="Cover Page" sheetId="7" r:id="rId1"/>
    <sheet name="Income Statement" sheetId="1" r:id="rId2"/>
    <sheet name="Balance Sheet" sheetId="2" r:id="rId3"/>
    <sheet name="Cash Flows" sheetId="3" r:id="rId4"/>
    <sheet name="Revenue Build" sheetId="4" r:id="rId5"/>
    <sheet name="DCF" sheetId="5" r:id="rId6"/>
    <sheet name="Comp Analysi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4" l="1"/>
  <c r="B18" i="2"/>
  <c r="C18" i="2"/>
  <c r="D18" i="2"/>
  <c r="E18" i="2"/>
  <c r="F18" i="2"/>
  <c r="D45" i="5"/>
  <c r="D46" i="5" s="1"/>
  <c r="D43" i="5"/>
  <c r="D42" i="5" s="1"/>
  <c r="D32" i="5" l="1"/>
  <c r="D33" i="5"/>
  <c r="D35" i="5"/>
  <c r="D36" i="5" s="1"/>
  <c r="F9" i="4"/>
  <c r="S29" i="1" l="1"/>
  <c r="T29" i="1" s="1"/>
  <c r="U29" i="1" s="1"/>
  <c r="V29" i="1" s="1"/>
  <c r="W29" i="1" s="1"/>
  <c r="X29" i="1" s="1"/>
  <c r="F7" i="3" l="1"/>
  <c r="L15" i="3" l="1"/>
  <c r="K15" i="3"/>
  <c r="J15" i="3"/>
  <c r="I15" i="3"/>
  <c r="H15" i="3"/>
  <c r="G15" i="3"/>
  <c r="F15" i="3"/>
  <c r="G42" i="2"/>
  <c r="G21" i="3" s="1"/>
  <c r="G32" i="2"/>
  <c r="G13" i="3" s="1"/>
  <c r="G31" i="2"/>
  <c r="G12" i="3" s="1"/>
  <c r="F26" i="2"/>
  <c r="G5" i="2"/>
  <c r="G10" i="3"/>
  <c r="H10" i="3"/>
  <c r="I10" i="3"/>
  <c r="J10" i="3"/>
  <c r="K10" i="3"/>
  <c r="L10" i="3"/>
  <c r="G61" i="2"/>
  <c r="H61" i="2" s="1"/>
  <c r="G53" i="2"/>
  <c r="E44" i="3"/>
  <c r="F27" i="3"/>
  <c r="F44" i="3"/>
  <c r="F11" i="3"/>
  <c r="F12" i="3"/>
  <c r="L9" i="3"/>
  <c r="K9" i="3"/>
  <c r="J9" i="3"/>
  <c r="I9" i="3"/>
  <c r="H9" i="3"/>
  <c r="F9" i="3"/>
  <c r="F13" i="3"/>
  <c r="F14" i="3"/>
  <c r="F21" i="3"/>
  <c r="F20" i="3"/>
  <c r="F19" i="3"/>
  <c r="G14" i="3" l="1"/>
  <c r="G74" i="2"/>
  <c r="G11" i="3"/>
  <c r="H42" i="2"/>
  <c r="I42" i="2" s="1"/>
  <c r="I61" i="2"/>
  <c r="J61" i="2" s="1"/>
  <c r="K61" i="2" s="1"/>
  <c r="L61" i="2" s="1"/>
  <c r="F45" i="3"/>
  <c r="F50" i="2"/>
  <c r="L8" i="3" l="1"/>
  <c r="K8" i="3"/>
  <c r="J8" i="3"/>
  <c r="I8" i="3"/>
  <c r="H8" i="3"/>
  <c r="G8" i="3"/>
  <c r="G33" i="2" l="1"/>
  <c r="G20" i="5" l="1"/>
  <c r="G19" i="5"/>
  <c r="D22" i="5"/>
  <c r="D21" i="5"/>
  <c r="F30" i="3"/>
  <c r="F31" i="3" s="1"/>
  <c r="E30" i="3"/>
  <c r="D30" i="3"/>
  <c r="C30" i="3"/>
  <c r="B30" i="3"/>
  <c r="G30" i="3"/>
  <c r="G31" i="3" l="1"/>
  <c r="B31" i="2"/>
  <c r="E24" i="2" l="1"/>
  <c r="C24" i="2"/>
  <c r="D24" i="2"/>
  <c r="F24" i="2"/>
  <c r="B24" i="2"/>
  <c r="F43" i="2"/>
  <c r="E43" i="2"/>
  <c r="D43" i="2"/>
  <c r="C43" i="2"/>
  <c r="H53" i="2"/>
  <c r="H14" i="3" s="1"/>
  <c r="H33" i="2"/>
  <c r="H32" i="2"/>
  <c r="F12" i="2"/>
  <c r="E12" i="2"/>
  <c r="D12" i="2"/>
  <c r="C12" i="2"/>
  <c r="B12" i="2"/>
  <c r="I32" i="2" l="1"/>
  <c r="H13" i="3"/>
  <c r="I33" i="2"/>
  <c r="H31" i="2"/>
  <c r="H12" i="3" s="1"/>
  <c r="I53" i="2"/>
  <c r="I14" i="3" s="1"/>
  <c r="J32" i="2" l="1"/>
  <c r="I13" i="3"/>
  <c r="H30" i="3"/>
  <c r="H31" i="3" s="1"/>
  <c r="J33" i="2"/>
  <c r="I31" i="2"/>
  <c r="I12" i="3" s="1"/>
  <c r="J53" i="2"/>
  <c r="J14" i="3" s="1"/>
  <c r="K32" i="2" l="1"/>
  <c r="J13" i="3"/>
  <c r="I30" i="3"/>
  <c r="I31" i="3" s="1"/>
  <c r="K33" i="2"/>
  <c r="J31" i="2"/>
  <c r="J12" i="3" s="1"/>
  <c r="K53" i="2"/>
  <c r="K14" i="3" s="1"/>
  <c r="L32" i="2" l="1"/>
  <c r="L13" i="3" s="1"/>
  <c r="K13" i="3"/>
  <c r="J30" i="3"/>
  <c r="J31" i="3" s="1"/>
  <c r="L33" i="2"/>
  <c r="K31" i="2"/>
  <c r="K12" i="3" s="1"/>
  <c r="L53" i="2"/>
  <c r="L14" i="3" s="1"/>
  <c r="L30" i="3" l="1"/>
  <c r="L31" i="3" s="1"/>
  <c r="K30" i="3"/>
  <c r="K31" i="3" s="1"/>
  <c r="L31" i="2"/>
  <c r="L12" i="3" s="1"/>
  <c r="R38" i="1" l="1"/>
  <c r="P38" i="1"/>
  <c r="O38" i="1"/>
  <c r="N38" i="1"/>
  <c r="M38" i="1"/>
  <c r="K38" i="1"/>
  <c r="J38" i="1"/>
  <c r="I38" i="1"/>
  <c r="H38" i="1"/>
  <c r="F38" i="1"/>
  <c r="E38" i="1"/>
  <c r="D38" i="1"/>
  <c r="C38" i="1"/>
  <c r="B38" i="1"/>
  <c r="S36" i="1"/>
  <c r="T36" i="1" s="1"/>
  <c r="R37" i="1"/>
  <c r="M37" i="1"/>
  <c r="H37" i="1"/>
  <c r="P37" i="1"/>
  <c r="O37" i="1"/>
  <c r="N37" i="1"/>
  <c r="K37" i="1"/>
  <c r="J37" i="1"/>
  <c r="I37" i="1"/>
  <c r="F37" i="1"/>
  <c r="E37" i="1"/>
  <c r="D37" i="1"/>
  <c r="C37" i="1"/>
  <c r="P27" i="1"/>
  <c r="O27" i="1"/>
  <c r="N27" i="1"/>
  <c r="M27" i="1"/>
  <c r="K27" i="1"/>
  <c r="J27" i="1"/>
  <c r="I27" i="1"/>
  <c r="H27" i="1"/>
  <c r="F27" i="1"/>
  <c r="E27" i="1"/>
  <c r="D27" i="1"/>
  <c r="C27" i="1"/>
  <c r="B27" i="1"/>
  <c r="R27" i="1"/>
  <c r="P25" i="1"/>
  <c r="O25" i="1"/>
  <c r="N25" i="1"/>
  <c r="K25" i="1"/>
  <c r="J25" i="1"/>
  <c r="I25" i="1"/>
  <c r="F25" i="1"/>
  <c r="E25" i="1"/>
  <c r="D25" i="1"/>
  <c r="P23" i="1"/>
  <c r="O23" i="1"/>
  <c r="N23" i="1"/>
  <c r="K23" i="1"/>
  <c r="J23" i="1"/>
  <c r="I23" i="1"/>
  <c r="F23" i="1"/>
  <c r="E23" i="1"/>
  <c r="D23" i="1"/>
  <c r="P21" i="1"/>
  <c r="O21" i="1"/>
  <c r="N21" i="1"/>
  <c r="K21" i="1"/>
  <c r="J21" i="1"/>
  <c r="I21" i="1"/>
  <c r="F21" i="1"/>
  <c r="E21" i="1"/>
  <c r="D21" i="1"/>
  <c r="P19" i="1"/>
  <c r="O19" i="1"/>
  <c r="N19" i="1"/>
  <c r="K19" i="1"/>
  <c r="J19" i="1"/>
  <c r="I19" i="1"/>
  <c r="F19" i="1"/>
  <c r="E19" i="1"/>
  <c r="D19" i="1"/>
  <c r="N67" i="4"/>
  <c r="N69" i="4" s="1"/>
  <c r="M67" i="4"/>
  <c r="M69" i="4" s="1"/>
  <c r="L67" i="4"/>
  <c r="L69" i="4" s="1"/>
  <c r="J67" i="4"/>
  <c r="O67" i="4" s="1"/>
  <c r="K69" i="4"/>
  <c r="S12" i="1" s="1"/>
  <c r="G39" i="2" s="1"/>
  <c r="G73" i="2" s="1"/>
  <c r="H69" i="4"/>
  <c r="G69" i="4"/>
  <c r="F67" i="4"/>
  <c r="K68" i="4" s="1"/>
  <c r="P67" i="4" s="1"/>
  <c r="E67" i="4"/>
  <c r="E69" i="4" s="1"/>
  <c r="D67" i="4"/>
  <c r="D69" i="4" s="1"/>
  <c r="I69" i="4"/>
  <c r="C67" i="4"/>
  <c r="C69" i="4" s="1"/>
  <c r="B67" i="4"/>
  <c r="B69" i="4" s="1"/>
  <c r="S7" i="1"/>
  <c r="S3" i="1"/>
  <c r="S4" i="1" s="1"/>
  <c r="N61" i="4"/>
  <c r="S61" i="4" s="1"/>
  <c r="X61" i="4" s="1"/>
  <c r="AC61" i="4" s="1"/>
  <c r="AH61" i="4" s="1"/>
  <c r="AH7" i="4" s="1"/>
  <c r="M61" i="4"/>
  <c r="M7" i="4" s="1"/>
  <c r="L61" i="4"/>
  <c r="Q61" i="4" s="1"/>
  <c r="K62" i="4"/>
  <c r="F62" i="4"/>
  <c r="E62" i="4"/>
  <c r="D62" i="4"/>
  <c r="C62" i="4"/>
  <c r="J61" i="4"/>
  <c r="O61" i="4" s="1"/>
  <c r="T61" i="4" s="1"/>
  <c r="Y61" i="4" s="1"/>
  <c r="AD61" i="4" s="1"/>
  <c r="AI61" i="4" s="1"/>
  <c r="AI7" i="4" s="1"/>
  <c r="AI24" i="4"/>
  <c r="AI57" i="4" s="1"/>
  <c r="AH24" i="4"/>
  <c r="AH57" i="4" s="1"/>
  <c r="AG24" i="4"/>
  <c r="AG57" i="4" s="1"/>
  <c r="AF24" i="4"/>
  <c r="AI23" i="4"/>
  <c r="AI53" i="4" s="1"/>
  <c r="AH23" i="4"/>
  <c r="AH53" i="4" s="1"/>
  <c r="AG23" i="4"/>
  <c r="AF23" i="4"/>
  <c r="AF53" i="4" s="1"/>
  <c r="AJ18" i="4"/>
  <c r="AJ17" i="4"/>
  <c r="AJ15" i="4"/>
  <c r="AJ14" i="4"/>
  <c r="AD24" i="4"/>
  <c r="AD57" i="4" s="1"/>
  <c r="AC24" i="4"/>
  <c r="AC57" i="4" s="1"/>
  <c r="AB24" i="4"/>
  <c r="AB57" i="4" s="1"/>
  <c r="AA24" i="4"/>
  <c r="AD23" i="4"/>
  <c r="AD53" i="4" s="1"/>
  <c r="AC23" i="4"/>
  <c r="AC53" i="4" s="1"/>
  <c r="AB23" i="4"/>
  <c r="AA23" i="4"/>
  <c r="AA53" i="4" s="1"/>
  <c r="AE18" i="4"/>
  <c r="AE17" i="4"/>
  <c r="AE15" i="4"/>
  <c r="AE14" i="4"/>
  <c r="Y24" i="4"/>
  <c r="X24" i="4"/>
  <c r="W24" i="4"/>
  <c r="W57" i="4" s="1"/>
  <c r="V24" i="4"/>
  <c r="V57" i="4" s="1"/>
  <c r="Y23" i="4"/>
  <c r="Y53" i="4" s="1"/>
  <c r="X23" i="4"/>
  <c r="X53" i="4" s="1"/>
  <c r="W23" i="4"/>
  <c r="W53" i="4" s="1"/>
  <c r="V23" i="4"/>
  <c r="V53" i="4" s="1"/>
  <c r="Z18" i="4"/>
  <c r="Z17" i="4"/>
  <c r="Z15" i="4"/>
  <c r="Z14" i="4"/>
  <c r="T24" i="4"/>
  <c r="T57" i="4" s="1"/>
  <c r="S24" i="4"/>
  <c r="S57" i="4" s="1"/>
  <c r="R24" i="4"/>
  <c r="Q24" i="4"/>
  <c r="T23" i="4"/>
  <c r="S23" i="4"/>
  <c r="R23" i="4"/>
  <c r="R53" i="4" s="1"/>
  <c r="Q23" i="4"/>
  <c r="Q53" i="4" s="1"/>
  <c r="U18" i="4"/>
  <c r="U17" i="4"/>
  <c r="U15" i="4"/>
  <c r="U14" i="4"/>
  <c r="O24" i="4"/>
  <c r="O57" i="4" s="1"/>
  <c r="N24" i="4"/>
  <c r="N57" i="4" s="1"/>
  <c r="M24" i="4"/>
  <c r="M57" i="4" s="1"/>
  <c r="L24" i="4"/>
  <c r="L57" i="4" s="1"/>
  <c r="O23" i="4"/>
  <c r="O53" i="4" s="1"/>
  <c r="N23" i="4"/>
  <c r="M23" i="4"/>
  <c r="M53" i="4" s="1"/>
  <c r="L23" i="4"/>
  <c r="L53" i="4" s="1"/>
  <c r="P18" i="4"/>
  <c r="P17" i="4"/>
  <c r="P15" i="4"/>
  <c r="P14" i="4"/>
  <c r="I47" i="4"/>
  <c r="H47" i="4"/>
  <c r="G47" i="4"/>
  <c r="K43" i="4"/>
  <c r="I43" i="4"/>
  <c r="H43" i="4"/>
  <c r="G43" i="4"/>
  <c r="K4" i="4"/>
  <c r="K8" i="4"/>
  <c r="J7" i="4"/>
  <c r="J3" i="4"/>
  <c r="J43" i="4" s="1"/>
  <c r="I9" i="4"/>
  <c r="H9" i="4"/>
  <c r="G9" i="4"/>
  <c r="B38" i="4"/>
  <c r="B37" i="4"/>
  <c r="J18" i="4"/>
  <c r="J24" i="4" s="1"/>
  <c r="J57" i="4" s="1"/>
  <c r="I18" i="4"/>
  <c r="I24" i="4" s="1"/>
  <c r="I57" i="4" s="1"/>
  <c r="H18" i="4"/>
  <c r="H24" i="4" s="1"/>
  <c r="H57" i="4" s="1"/>
  <c r="G18" i="4"/>
  <c r="G24" i="4" s="1"/>
  <c r="G57" i="4" s="1"/>
  <c r="F18" i="4"/>
  <c r="F24" i="4" s="1"/>
  <c r="F57" i="4" s="1"/>
  <c r="E18" i="4"/>
  <c r="E24" i="4" s="1"/>
  <c r="E57" i="4" s="1"/>
  <c r="D18" i="4"/>
  <c r="D24" i="4" s="1"/>
  <c r="D57" i="4" s="1"/>
  <c r="C18" i="4"/>
  <c r="C24" i="4" s="1"/>
  <c r="C57" i="4" s="1"/>
  <c r="B18" i="4"/>
  <c r="B24" i="4" s="1"/>
  <c r="B57" i="4" s="1"/>
  <c r="J17" i="4"/>
  <c r="J23" i="4" s="1"/>
  <c r="J53" i="4" s="1"/>
  <c r="I17" i="4"/>
  <c r="I23" i="4" s="1"/>
  <c r="I53" i="4" s="1"/>
  <c r="H17" i="4"/>
  <c r="H23" i="4" s="1"/>
  <c r="H53" i="4" s="1"/>
  <c r="G17" i="4"/>
  <c r="G23" i="4" s="1"/>
  <c r="G53" i="4" s="1"/>
  <c r="F17" i="4"/>
  <c r="F23" i="4" s="1"/>
  <c r="F53" i="4" s="1"/>
  <c r="D17" i="4"/>
  <c r="D23" i="4" s="1"/>
  <c r="E17" i="4"/>
  <c r="E23" i="4" s="1"/>
  <c r="E53" i="4" s="1"/>
  <c r="C17" i="4"/>
  <c r="C32" i="4" s="1"/>
  <c r="B17" i="4"/>
  <c r="B23" i="4" s="1"/>
  <c r="B53" i="4" s="1"/>
  <c r="K21" i="4"/>
  <c r="K20" i="4"/>
  <c r="K15" i="4"/>
  <c r="K14" i="4"/>
  <c r="F47" i="4"/>
  <c r="E47" i="4"/>
  <c r="D47" i="4"/>
  <c r="C47" i="4"/>
  <c r="B47" i="4"/>
  <c r="F43" i="4"/>
  <c r="E43" i="4"/>
  <c r="D43" i="4"/>
  <c r="C43" i="4"/>
  <c r="B43" i="4"/>
  <c r="C36" i="4"/>
  <c r="D36" i="4" s="1"/>
  <c r="E36" i="4" s="1"/>
  <c r="F36" i="4" s="1"/>
  <c r="G36" i="4" s="1"/>
  <c r="H36" i="4" s="1"/>
  <c r="I36" i="4" s="1"/>
  <c r="J36" i="4" s="1"/>
  <c r="C35" i="4"/>
  <c r="D35" i="4" s="1"/>
  <c r="E35" i="4" s="1"/>
  <c r="F35" i="4" s="1"/>
  <c r="C30" i="4"/>
  <c r="D30" i="4" s="1"/>
  <c r="E30" i="4" s="1"/>
  <c r="F30" i="4" s="1"/>
  <c r="G30" i="4" s="1"/>
  <c r="C29" i="4"/>
  <c r="D29" i="4" s="1"/>
  <c r="E29" i="4" s="1"/>
  <c r="F29" i="4" s="1"/>
  <c r="F29" i="2"/>
  <c r="E29" i="2"/>
  <c r="D29" i="2"/>
  <c r="C29" i="2"/>
  <c r="B29" i="2"/>
  <c r="F64" i="2"/>
  <c r="K3" i="5" s="1"/>
  <c r="E64" i="2"/>
  <c r="D64" i="2"/>
  <c r="C64" i="2"/>
  <c r="B64" i="2"/>
  <c r="E50" i="2"/>
  <c r="D50" i="2"/>
  <c r="C50" i="2"/>
  <c r="B50" i="2"/>
  <c r="F27" i="2"/>
  <c r="E26" i="2"/>
  <c r="E27" i="2" s="1"/>
  <c r="D26" i="2"/>
  <c r="D27" i="2" s="1"/>
  <c r="C26" i="2"/>
  <c r="C27" i="2" s="1"/>
  <c r="B26" i="2"/>
  <c r="B27" i="2" s="1"/>
  <c r="F13" i="2"/>
  <c r="E13" i="2"/>
  <c r="D13" i="2"/>
  <c r="C13" i="2"/>
  <c r="B13" i="2"/>
  <c r="F40" i="2"/>
  <c r="D40" i="2"/>
  <c r="E40" i="2"/>
  <c r="C40" i="2"/>
  <c r="E9" i="4"/>
  <c r="D9" i="4"/>
  <c r="C9" i="4"/>
  <c r="B9" i="4"/>
  <c r="F8" i="4"/>
  <c r="E8" i="4"/>
  <c r="D8" i="4"/>
  <c r="C8" i="4"/>
  <c r="F6" i="4"/>
  <c r="E6" i="4"/>
  <c r="D6" i="4"/>
  <c r="C6" i="4"/>
  <c r="F4" i="4"/>
  <c r="E4" i="4"/>
  <c r="D4" i="4"/>
  <c r="C4" i="4"/>
  <c r="L12" i="2"/>
  <c r="K12" i="2"/>
  <c r="J12" i="2"/>
  <c r="I12" i="2"/>
  <c r="H12" i="2"/>
  <c r="G12" i="2"/>
  <c r="D25" i="4" l="1"/>
  <c r="G11" i="2"/>
  <c r="G18" i="3" s="1"/>
  <c r="S13" i="1"/>
  <c r="G20" i="3"/>
  <c r="U36" i="1"/>
  <c r="T38" i="1"/>
  <c r="T67" i="4"/>
  <c r="O69" i="4"/>
  <c r="R67" i="4"/>
  <c r="S67" i="4"/>
  <c r="J69" i="4"/>
  <c r="S38" i="1"/>
  <c r="E35" i="2"/>
  <c r="E68" i="4"/>
  <c r="Q67" i="4"/>
  <c r="K5" i="5"/>
  <c r="C35" i="2"/>
  <c r="F35" i="2"/>
  <c r="D35" i="2"/>
  <c r="B35" i="2"/>
  <c r="H21" i="3"/>
  <c r="C68" i="4"/>
  <c r="U67" i="4"/>
  <c r="P69" i="4"/>
  <c r="T12" i="1" s="1"/>
  <c r="H11" i="2" s="1"/>
  <c r="F69" i="4"/>
  <c r="F68" i="4"/>
  <c r="D68" i="4"/>
  <c r="S8" i="1"/>
  <c r="P24" i="4"/>
  <c r="P57" i="4" s="1"/>
  <c r="Z24" i="4"/>
  <c r="Z57" i="4" s="1"/>
  <c r="AJ24" i="4"/>
  <c r="AJ57" i="4" s="1"/>
  <c r="T7" i="4"/>
  <c r="S25" i="4"/>
  <c r="X25" i="4"/>
  <c r="K29" i="4"/>
  <c r="L29" i="4" s="1"/>
  <c r="M29" i="4" s="1"/>
  <c r="T25" i="4"/>
  <c r="AG25" i="4"/>
  <c r="N7" i="4"/>
  <c r="V61" i="4"/>
  <c r="V7" i="4" s="1"/>
  <c r="Q7" i="4"/>
  <c r="Z23" i="4"/>
  <c r="AJ23" i="4"/>
  <c r="AF25" i="4"/>
  <c r="L7" i="4"/>
  <c r="AB25" i="4"/>
  <c r="S7" i="4"/>
  <c r="AC7" i="4"/>
  <c r="O7" i="4"/>
  <c r="AD7" i="4"/>
  <c r="P61" i="4"/>
  <c r="X7" i="4"/>
  <c r="Y7" i="4"/>
  <c r="T53" i="4"/>
  <c r="U23" i="4"/>
  <c r="Y25" i="4"/>
  <c r="R61" i="4"/>
  <c r="U61" i="4" s="1"/>
  <c r="U24" i="4"/>
  <c r="U57" i="4" s="1"/>
  <c r="AI25" i="4"/>
  <c r="AB53" i="4"/>
  <c r="N25" i="4"/>
  <c r="D53" i="4"/>
  <c r="P23" i="4"/>
  <c r="P53" i="4" s="1"/>
  <c r="AE24" i="4"/>
  <c r="AE57" i="4" s="1"/>
  <c r="AD25" i="4"/>
  <c r="Q25" i="4"/>
  <c r="N53" i="4"/>
  <c r="X57" i="4"/>
  <c r="AF57" i="4"/>
  <c r="O25" i="4"/>
  <c r="R25" i="4"/>
  <c r="V25" i="4"/>
  <c r="AC25" i="4"/>
  <c r="Q57" i="4"/>
  <c r="Y57" i="4"/>
  <c r="M25" i="4"/>
  <c r="W25" i="4"/>
  <c r="R57" i="4"/>
  <c r="AE23" i="4"/>
  <c r="AA25" i="4"/>
  <c r="AG53" i="4"/>
  <c r="AA57" i="4"/>
  <c r="AH25" i="4"/>
  <c r="S53" i="4"/>
  <c r="L25" i="4"/>
  <c r="I25" i="4"/>
  <c r="C37" i="4"/>
  <c r="B48" i="4"/>
  <c r="B58" i="4" s="1"/>
  <c r="B59" i="4" s="1"/>
  <c r="B44" i="4"/>
  <c r="B54" i="4" s="1"/>
  <c r="B55" i="4" s="1"/>
  <c r="G25" i="4"/>
  <c r="B39" i="4"/>
  <c r="K35" i="4"/>
  <c r="L35" i="4" s="1"/>
  <c r="M35" i="4" s="1"/>
  <c r="N35" i="4" s="1"/>
  <c r="O35" i="4" s="1"/>
  <c r="P35" i="4" s="1"/>
  <c r="Q35" i="4" s="1"/>
  <c r="R35" i="4" s="1"/>
  <c r="S35" i="4" s="1"/>
  <c r="T35" i="4" s="1"/>
  <c r="U35" i="4" s="1"/>
  <c r="V35" i="4" s="1"/>
  <c r="W35" i="4" s="1"/>
  <c r="X35" i="4" s="1"/>
  <c r="Y35" i="4" s="1"/>
  <c r="Z35" i="4" s="1"/>
  <c r="AA35" i="4" s="1"/>
  <c r="AB35" i="4" s="1"/>
  <c r="AC35" i="4" s="1"/>
  <c r="AD35" i="4" s="1"/>
  <c r="AE35" i="4" s="1"/>
  <c r="AF35" i="4" s="1"/>
  <c r="AG35" i="4" s="1"/>
  <c r="AH35" i="4" s="1"/>
  <c r="AI35" i="4" s="1"/>
  <c r="AJ35" i="4" s="1"/>
  <c r="K30" i="4"/>
  <c r="L30" i="4" s="1"/>
  <c r="M30" i="4" s="1"/>
  <c r="N30" i="4" s="1"/>
  <c r="G29" i="4"/>
  <c r="H29" i="4" s="1"/>
  <c r="I29" i="4" s="1"/>
  <c r="J29" i="4" s="1"/>
  <c r="G35" i="4"/>
  <c r="H35" i="4" s="1"/>
  <c r="I35" i="4" s="1"/>
  <c r="J35" i="4" s="1"/>
  <c r="B25" i="4"/>
  <c r="F25" i="4"/>
  <c r="H30" i="4"/>
  <c r="H25" i="4"/>
  <c r="K36" i="4"/>
  <c r="L36" i="4" s="1"/>
  <c r="M36" i="4" s="1"/>
  <c r="N36" i="4" s="1"/>
  <c r="O36" i="4" s="1"/>
  <c r="P36" i="4" s="1"/>
  <c r="Q36" i="4" s="1"/>
  <c r="R36" i="4" s="1"/>
  <c r="S36" i="4" s="1"/>
  <c r="T36" i="4" s="1"/>
  <c r="U36" i="4" s="1"/>
  <c r="V36" i="4" s="1"/>
  <c r="W36" i="4" s="1"/>
  <c r="X36" i="4" s="1"/>
  <c r="Y36" i="4" s="1"/>
  <c r="Z36" i="4" s="1"/>
  <c r="AA36" i="4" s="1"/>
  <c r="AB36" i="4" s="1"/>
  <c r="AC36" i="4" s="1"/>
  <c r="AD36" i="4" s="1"/>
  <c r="AE36" i="4" s="1"/>
  <c r="AF36" i="4" s="1"/>
  <c r="AG36" i="4" s="1"/>
  <c r="AH36" i="4" s="1"/>
  <c r="AI36" i="4" s="1"/>
  <c r="AJ36" i="4" s="1"/>
  <c r="E25" i="4"/>
  <c r="J25" i="4"/>
  <c r="C23" i="4"/>
  <c r="K18" i="4"/>
  <c r="K24" i="4" s="1"/>
  <c r="K57" i="4" s="1"/>
  <c r="C33" i="4"/>
  <c r="C38" i="4" s="1"/>
  <c r="C48" i="4" s="1"/>
  <c r="C58" i="4" s="1"/>
  <c r="C59" i="4" s="1"/>
  <c r="K17" i="4"/>
  <c r="K23" i="4" s="1"/>
  <c r="K53" i="4" s="1"/>
  <c r="D32" i="4"/>
  <c r="E32" i="4" s="1"/>
  <c r="F32" i="4" s="1"/>
  <c r="F37" i="4" s="1"/>
  <c r="D10" i="4"/>
  <c r="F10" i="4"/>
  <c r="C10" i="4"/>
  <c r="E10" i="4"/>
  <c r="F6" i="2"/>
  <c r="E6" i="2"/>
  <c r="D6" i="2"/>
  <c r="C6" i="2"/>
  <c r="H18" i="3" l="1"/>
  <c r="Z25" i="4"/>
  <c r="G50" i="2"/>
  <c r="G54" i="2" s="1"/>
  <c r="R69" i="4"/>
  <c r="W67" i="4"/>
  <c r="T69" i="4"/>
  <c r="Y67" i="4"/>
  <c r="V67" i="4"/>
  <c r="Q69" i="4"/>
  <c r="U38" i="1"/>
  <c r="V36" i="1"/>
  <c r="X67" i="4"/>
  <c r="S69" i="4"/>
  <c r="P25" i="4"/>
  <c r="T13" i="1"/>
  <c r="H39" i="2"/>
  <c r="H20" i="3" s="1"/>
  <c r="H5" i="2"/>
  <c r="I21" i="3"/>
  <c r="U69" i="4"/>
  <c r="U12" i="1" s="1"/>
  <c r="I39" i="2" s="1"/>
  <c r="Z67" i="4"/>
  <c r="AJ25" i="4"/>
  <c r="Z53" i="4"/>
  <c r="AJ53" i="4"/>
  <c r="B64" i="4"/>
  <c r="U62" i="4"/>
  <c r="U7" i="4"/>
  <c r="U7" i="1" s="1"/>
  <c r="AA61" i="4"/>
  <c r="AA7" i="4" s="1"/>
  <c r="W61" i="4"/>
  <c r="Z61" i="4" s="1"/>
  <c r="R7" i="4"/>
  <c r="P62" i="4"/>
  <c r="P7" i="4"/>
  <c r="U25" i="4"/>
  <c r="U53" i="4"/>
  <c r="C25" i="4"/>
  <c r="C53" i="4"/>
  <c r="O30" i="4"/>
  <c r="AE25" i="4"/>
  <c r="AE53" i="4"/>
  <c r="N29" i="4"/>
  <c r="K25" i="4"/>
  <c r="C44" i="4"/>
  <c r="D37" i="4"/>
  <c r="D44" i="4" s="1"/>
  <c r="I30" i="4"/>
  <c r="G32" i="4"/>
  <c r="K32" i="4"/>
  <c r="C39" i="4"/>
  <c r="E37" i="4"/>
  <c r="F44" i="4"/>
  <c r="F54" i="4" s="1"/>
  <c r="F55" i="4" s="1"/>
  <c r="D33" i="4"/>
  <c r="D38" i="4" s="1"/>
  <c r="D48" i="4" s="1"/>
  <c r="D58" i="4" s="1"/>
  <c r="D59" i="4" s="1"/>
  <c r="C49" i="4"/>
  <c r="P10" i="1"/>
  <c r="O10" i="1"/>
  <c r="N10" i="1"/>
  <c r="K10" i="1"/>
  <c r="J10" i="1"/>
  <c r="I10" i="1"/>
  <c r="P8" i="1"/>
  <c r="O8" i="1"/>
  <c r="N8" i="1"/>
  <c r="K8" i="1"/>
  <c r="J8" i="1"/>
  <c r="I8" i="1"/>
  <c r="P6" i="1"/>
  <c r="O6" i="1"/>
  <c r="N6" i="1"/>
  <c r="K6" i="1"/>
  <c r="J6" i="1"/>
  <c r="I6" i="1"/>
  <c r="P4" i="1"/>
  <c r="O4" i="1"/>
  <c r="N4" i="1"/>
  <c r="K4" i="1"/>
  <c r="J4" i="1"/>
  <c r="I4" i="1"/>
  <c r="E31" i="3"/>
  <c r="D31" i="3"/>
  <c r="C31" i="3"/>
  <c r="B31" i="3"/>
  <c r="H11" i="3" l="1"/>
  <c r="AD67" i="4"/>
  <c r="Y69" i="4"/>
  <c r="X69" i="4"/>
  <c r="AC67" i="4"/>
  <c r="W69" i="4"/>
  <c r="AB67" i="4"/>
  <c r="W36" i="1"/>
  <c r="V38" i="1"/>
  <c r="H50" i="2"/>
  <c r="H54" i="2" s="1"/>
  <c r="P8" i="4"/>
  <c r="T7" i="1"/>
  <c r="T8" i="1" s="1"/>
  <c r="V69" i="4"/>
  <c r="AA67" i="4"/>
  <c r="U13" i="1"/>
  <c r="I20" i="3"/>
  <c r="I11" i="2"/>
  <c r="I18" i="3" s="1"/>
  <c r="I5" i="2"/>
  <c r="J42" i="2"/>
  <c r="J21" i="3" s="1"/>
  <c r="Z69" i="4"/>
  <c r="V12" i="1" s="1"/>
  <c r="AE67" i="4"/>
  <c r="U8" i="4"/>
  <c r="AF61" i="4"/>
  <c r="AF7" i="4" s="1"/>
  <c r="Z7" i="4"/>
  <c r="Z62" i="4"/>
  <c r="AB61" i="4"/>
  <c r="W7" i="4"/>
  <c r="D45" i="4"/>
  <c r="D54" i="4"/>
  <c r="D55" i="4" s="1"/>
  <c r="D64" i="4" s="1"/>
  <c r="P30" i="4"/>
  <c r="C45" i="4"/>
  <c r="C54" i="4"/>
  <c r="C55" i="4" s="1"/>
  <c r="C64" i="4" s="1"/>
  <c r="O29" i="4"/>
  <c r="K37" i="4"/>
  <c r="K44" i="4" s="1"/>
  <c r="K54" i="4" s="1"/>
  <c r="K55" i="4" s="1"/>
  <c r="L32" i="4"/>
  <c r="H32" i="4"/>
  <c r="G37" i="4"/>
  <c r="E44" i="4"/>
  <c r="J30" i="4"/>
  <c r="D39" i="4"/>
  <c r="E33" i="4"/>
  <c r="E38" i="4" s="1"/>
  <c r="E48" i="4" s="1"/>
  <c r="E58" i="4" s="1"/>
  <c r="E59" i="4" s="1"/>
  <c r="D49" i="4"/>
  <c r="U8" i="1" l="1"/>
  <c r="I11" i="3"/>
  <c r="Z8" i="4"/>
  <c r="V7" i="1"/>
  <c r="V8" i="1" s="1"/>
  <c r="AC69" i="4"/>
  <c r="AH67" i="4"/>
  <c r="AH69" i="4" s="1"/>
  <c r="AF67" i="4"/>
  <c r="AF69" i="4" s="1"/>
  <c r="AA69" i="4"/>
  <c r="X36" i="1"/>
  <c r="X38" i="1" s="1"/>
  <c r="W38" i="1"/>
  <c r="AD69" i="4"/>
  <c r="AI67" i="4"/>
  <c r="AI69" i="4" s="1"/>
  <c r="AG67" i="4"/>
  <c r="AG69" i="4" s="1"/>
  <c r="AB69" i="4"/>
  <c r="V13" i="1"/>
  <c r="J39" i="2"/>
  <c r="J20" i="3" s="1"/>
  <c r="J11" i="2"/>
  <c r="J18" i="3" s="1"/>
  <c r="I50" i="2"/>
  <c r="I54" i="2" s="1"/>
  <c r="J5" i="2"/>
  <c r="K42" i="2"/>
  <c r="K21" i="3" s="1"/>
  <c r="AJ67" i="4"/>
  <c r="AJ69" i="4" s="1"/>
  <c r="X12" i="1" s="1"/>
  <c r="AE69" i="4"/>
  <c r="W12" i="1" s="1"/>
  <c r="AG61" i="4"/>
  <c r="AB7" i="4"/>
  <c r="AE61" i="4"/>
  <c r="E45" i="4"/>
  <c r="E54" i="4"/>
  <c r="E55" i="4" s="1"/>
  <c r="E64" i="4" s="1"/>
  <c r="P29" i="4"/>
  <c r="M32" i="4"/>
  <c r="L37" i="4"/>
  <c r="Q30" i="4"/>
  <c r="E39" i="4"/>
  <c r="G44" i="4"/>
  <c r="K45" i="4"/>
  <c r="I32" i="4"/>
  <c r="H37" i="4"/>
  <c r="F33" i="4"/>
  <c r="F45" i="4"/>
  <c r="F36" i="3"/>
  <c r="E36" i="3"/>
  <c r="D36" i="3"/>
  <c r="C36" i="3"/>
  <c r="E37" i="3"/>
  <c r="D37" i="3"/>
  <c r="C37" i="3"/>
  <c r="B37" i="3"/>
  <c r="J11" i="3" l="1"/>
  <c r="J50" i="2"/>
  <c r="J54" i="2" s="1"/>
  <c r="X13" i="1"/>
  <c r="L39" i="2"/>
  <c r="L11" i="2"/>
  <c r="W13" i="1"/>
  <c r="K39" i="2"/>
  <c r="K20" i="3" s="1"/>
  <c r="K11" i="2"/>
  <c r="K18" i="3" s="1"/>
  <c r="K5" i="2"/>
  <c r="L42" i="2"/>
  <c r="L21" i="3" s="1"/>
  <c r="AG7" i="4"/>
  <c r="AJ61" i="4"/>
  <c r="AE62" i="4"/>
  <c r="AE7" i="4"/>
  <c r="G54" i="4"/>
  <c r="G55" i="4" s="1"/>
  <c r="L44" i="4"/>
  <c r="N32" i="4"/>
  <c r="M37" i="4"/>
  <c r="Q29" i="4"/>
  <c r="R30" i="4"/>
  <c r="H44" i="4"/>
  <c r="G33" i="4"/>
  <c r="K33" i="4"/>
  <c r="F38" i="4"/>
  <c r="J32" i="4"/>
  <c r="J37" i="4" s="1"/>
  <c r="I37" i="4"/>
  <c r="E49" i="4"/>
  <c r="E27" i="3"/>
  <c r="D27" i="3"/>
  <c r="C27" i="3"/>
  <c r="B27" i="3"/>
  <c r="B66" i="2"/>
  <c r="P63" i="2"/>
  <c r="P65" i="2" s="1"/>
  <c r="O63" i="2"/>
  <c r="O65" i="2" s="1"/>
  <c r="N63" i="2"/>
  <c r="N65" i="2" s="1"/>
  <c r="P49" i="2"/>
  <c r="P53" i="2" s="1"/>
  <c r="O49" i="2"/>
  <c r="O53" i="2" s="1"/>
  <c r="N49" i="2"/>
  <c r="N53" i="2" s="1"/>
  <c r="P18" i="2"/>
  <c r="P34" i="2" s="1"/>
  <c r="O18" i="2"/>
  <c r="O34" i="2" s="1"/>
  <c r="B54" i="2"/>
  <c r="C54" i="2"/>
  <c r="D54" i="2"/>
  <c r="E54" i="2"/>
  <c r="F54" i="2"/>
  <c r="N18" i="2"/>
  <c r="N34" i="2" s="1"/>
  <c r="F66" i="2"/>
  <c r="E66" i="2"/>
  <c r="D66" i="2"/>
  <c r="C66" i="2"/>
  <c r="R13" i="1"/>
  <c r="P13" i="1"/>
  <c r="P15" i="1" s="1"/>
  <c r="P16" i="1" s="1"/>
  <c r="O13" i="1"/>
  <c r="O15" i="1" s="1"/>
  <c r="O16" i="1" s="1"/>
  <c r="N13" i="1"/>
  <c r="M13" i="1"/>
  <c r="K13" i="1"/>
  <c r="J13" i="1"/>
  <c r="J15" i="1" s="1"/>
  <c r="J16" i="1" s="1"/>
  <c r="I13" i="1"/>
  <c r="H13" i="1"/>
  <c r="F13" i="1"/>
  <c r="F15" i="1" s="1"/>
  <c r="F16" i="1" s="1"/>
  <c r="E13" i="1"/>
  <c r="E15" i="1" s="1"/>
  <c r="E16" i="1" s="1"/>
  <c r="D13" i="1"/>
  <c r="C13" i="1"/>
  <c r="B13" i="1"/>
  <c r="R9" i="1"/>
  <c r="M9" i="1"/>
  <c r="H9" i="1"/>
  <c r="C9" i="1"/>
  <c r="B9" i="1"/>
  <c r="H4" i="1"/>
  <c r="R8" i="1"/>
  <c r="M8" i="1"/>
  <c r="H8" i="1"/>
  <c r="C8" i="1"/>
  <c r="R6" i="1"/>
  <c r="M6" i="1"/>
  <c r="H6" i="1"/>
  <c r="C6" i="1"/>
  <c r="R4" i="1"/>
  <c r="M4" i="1"/>
  <c r="C4" i="1"/>
  <c r="Q42" i="1"/>
  <c r="Q36" i="1"/>
  <c r="Q37" i="1" s="1"/>
  <c r="Q35" i="1"/>
  <c r="Q34" i="1"/>
  <c r="Q33" i="1"/>
  <c r="Q29" i="1"/>
  <c r="Q26" i="1"/>
  <c r="Q24" i="1"/>
  <c r="Q22" i="1"/>
  <c r="Q20" i="1"/>
  <c r="Q18" i="1"/>
  <c r="Q12" i="1"/>
  <c r="Q13" i="1" s="1"/>
  <c r="Q7" i="1"/>
  <c r="Q5" i="1"/>
  <c r="Q3" i="1"/>
  <c r="G42" i="1"/>
  <c r="G36" i="1"/>
  <c r="G37" i="1" s="1"/>
  <c r="G35" i="1"/>
  <c r="G34" i="1"/>
  <c r="G33" i="1"/>
  <c r="G29" i="1"/>
  <c r="G26" i="1"/>
  <c r="G24" i="1"/>
  <c r="G22" i="1"/>
  <c r="G20" i="1"/>
  <c r="G18" i="1"/>
  <c r="G12" i="1"/>
  <c r="G13" i="1" s="1"/>
  <c r="G7" i="1"/>
  <c r="L42" i="1"/>
  <c r="L36" i="1"/>
  <c r="L37" i="1" s="1"/>
  <c r="L35" i="1"/>
  <c r="L34" i="1"/>
  <c r="L33" i="1"/>
  <c r="L29" i="1"/>
  <c r="L26" i="1"/>
  <c r="L24" i="1"/>
  <c r="L22" i="1"/>
  <c r="L20" i="1"/>
  <c r="L18" i="1"/>
  <c r="L12" i="1"/>
  <c r="L13" i="1" s="1"/>
  <c r="L7" i="1"/>
  <c r="L5" i="1"/>
  <c r="L3" i="1"/>
  <c r="G3" i="1"/>
  <c r="G5" i="1"/>
  <c r="O67" i="2" l="1"/>
  <c r="N67" i="2"/>
  <c r="P67" i="2"/>
  <c r="G38" i="1"/>
  <c r="K11" i="3"/>
  <c r="B25" i="2"/>
  <c r="B25" i="1"/>
  <c r="B23" i="1"/>
  <c r="B21" i="1"/>
  <c r="B19" i="1"/>
  <c r="G27" i="1"/>
  <c r="D25" i="2"/>
  <c r="H21" i="1"/>
  <c r="H19" i="1"/>
  <c r="H25" i="1"/>
  <c r="H23" i="1"/>
  <c r="L8" i="1"/>
  <c r="L38" i="1"/>
  <c r="E25" i="2"/>
  <c r="M21" i="1"/>
  <c r="M19" i="1"/>
  <c r="M25" i="1"/>
  <c r="M23" i="1"/>
  <c r="L18" i="3"/>
  <c r="Q27" i="1"/>
  <c r="F25" i="2"/>
  <c r="R23" i="1"/>
  <c r="R21" i="1"/>
  <c r="R19" i="1"/>
  <c r="R25" i="1"/>
  <c r="C25" i="2"/>
  <c r="C23" i="1"/>
  <c r="C25" i="1"/>
  <c r="C21" i="1"/>
  <c r="C19" i="1"/>
  <c r="L27" i="1"/>
  <c r="AE8" i="4"/>
  <c r="W7" i="1"/>
  <c r="W8" i="1" s="1"/>
  <c r="L4" i="1"/>
  <c r="Q38" i="1"/>
  <c r="K50" i="2"/>
  <c r="K54" i="2" s="1"/>
  <c r="L20" i="3"/>
  <c r="L50" i="2"/>
  <c r="L54" i="2" s="1"/>
  <c r="L5" i="2"/>
  <c r="AJ62" i="4"/>
  <c r="AJ7" i="4"/>
  <c r="R29" i="4"/>
  <c r="S30" i="4"/>
  <c r="K38" i="4"/>
  <c r="L33" i="4"/>
  <c r="M44" i="4"/>
  <c r="H54" i="4"/>
  <c r="H55" i="4" s="1"/>
  <c r="O32" i="4"/>
  <c r="N37" i="4"/>
  <c r="L43" i="4"/>
  <c r="L54" i="4"/>
  <c r="L55" i="4" s="1"/>
  <c r="Q44" i="4"/>
  <c r="I44" i="4"/>
  <c r="J44" i="4"/>
  <c r="F48" i="4"/>
  <c r="F39" i="4"/>
  <c r="H33" i="4"/>
  <c r="G38" i="4"/>
  <c r="B68" i="2"/>
  <c r="B69" i="2" s="1"/>
  <c r="Q8" i="1"/>
  <c r="D30" i="1"/>
  <c r="D48" i="1" s="1"/>
  <c r="D49" i="1" s="1"/>
  <c r="N30" i="1"/>
  <c r="N48" i="1" s="1"/>
  <c r="N49" i="1" s="1"/>
  <c r="K30" i="1"/>
  <c r="K48" i="1" s="1"/>
  <c r="K49" i="1" s="1"/>
  <c r="B30" i="1"/>
  <c r="B48" i="1" s="1"/>
  <c r="B49" i="1" s="1"/>
  <c r="B16" i="2"/>
  <c r="E16" i="2"/>
  <c r="E9" i="2"/>
  <c r="L6" i="1"/>
  <c r="G9" i="1"/>
  <c r="G15" i="1" s="1"/>
  <c r="G16" i="1" s="1"/>
  <c r="D9" i="2"/>
  <c r="D16" i="2"/>
  <c r="Q9" i="1"/>
  <c r="Q25" i="1" s="1"/>
  <c r="F16" i="2"/>
  <c r="F9" i="2"/>
  <c r="Q4" i="1"/>
  <c r="C16" i="2"/>
  <c r="C9" i="2"/>
  <c r="Q6" i="1"/>
  <c r="E68" i="2"/>
  <c r="E69" i="2" s="1"/>
  <c r="D68" i="2"/>
  <c r="D69" i="2" s="1"/>
  <c r="C68" i="2"/>
  <c r="C69" i="2" s="1"/>
  <c r="F68" i="2"/>
  <c r="F69" i="2" s="1"/>
  <c r="I30" i="1"/>
  <c r="I48" i="1" s="1"/>
  <c r="I49" i="1" s="1"/>
  <c r="J30" i="1"/>
  <c r="J48" i="1" s="1"/>
  <c r="J49" i="1" s="1"/>
  <c r="R15" i="1"/>
  <c r="R16" i="1" s="1"/>
  <c r="C30" i="1"/>
  <c r="C40" i="1" s="1"/>
  <c r="H30" i="1"/>
  <c r="H40" i="1" s="1"/>
  <c r="R30" i="1"/>
  <c r="M30" i="1"/>
  <c r="H15" i="1"/>
  <c r="H16" i="1" s="1"/>
  <c r="E30" i="1"/>
  <c r="E48" i="1" s="1"/>
  <c r="E49" i="1" s="1"/>
  <c r="O30" i="1"/>
  <c r="O48" i="1" s="1"/>
  <c r="O49" i="1" s="1"/>
  <c r="I15" i="1"/>
  <c r="I16" i="1" s="1"/>
  <c r="F30" i="1"/>
  <c r="F48" i="1" s="1"/>
  <c r="F49" i="1" s="1"/>
  <c r="P30" i="1"/>
  <c r="P48" i="1" s="1"/>
  <c r="P49" i="1" s="1"/>
  <c r="B15" i="1"/>
  <c r="B16" i="1" s="1"/>
  <c r="K15" i="1"/>
  <c r="K16" i="1" s="1"/>
  <c r="C15" i="1"/>
  <c r="C16" i="1" s="1"/>
  <c r="M15" i="1"/>
  <c r="M16" i="1" s="1"/>
  <c r="D15" i="1"/>
  <c r="D16" i="1" s="1"/>
  <c r="N15" i="1"/>
  <c r="N16" i="1" s="1"/>
  <c r="C10" i="1"/>
  <c r="R10" i="1"/>
  <c r="L9" i="1"/>
  <c r="L19" i="1" s="1"/>
  <c r="M10" i="1"/>
  <c r="H10" i="1"/>
  <c r="Q15" i="1" l="1"/>
  <c r="Q16" i="1" s="1"/>
  <c r="Q30" i="1"/>
  <c r="Q48" i="1" s="1"/>
  <c r="Q49" i="1" s="1"/>
  <c r="Q19" i="1"/>
  <c r="L11" i="3"/>
  <c r="L25" i="1"/>
  <c r="Q23" i="1"/>
  <c r="L23" i="1"/>
  <c r="G23" i="1"/>
  <c r="G21" i="1"/>
  <c r="L21" i="1"/>
  <c r="Q21" i="1"/>
  <c r="G19" i="1"/>
  <c r="AJ8" i="4"/>
  <c r="X7" i="1"/>
  <c r="X8" i="1" s="1"/>
  <c r="G25" i="1"/>
  <c r="K31" i="1"/>
  <c r="K40" i="1"/>
  <c r="K43" i="1" s="1"/>
  <c r="J40" i="1"/>
  <c r="J43" i="1" s="1"/>
  <c r="N40" i="1"/>
  <c r="N43" i="1" s="1"/>
  <c r="D40" i="1"/>
  <c r="D43" i="1" s="1"/>
  <c r="N31" i="1"/>
  <c r="B40" i="1"/>
  <c r="B45" i="1" s="1"/>
  <c r="B31" i="1"/>
  <c r="L3" i="4"/>
  <c r="M33" i="4"/>
  <c r="L38" i="4"/>
  <c r="L39" i="4" s="1"/>
  <c r="I54" i="4"/>
  <c r="I55" i="4" s="1"/>
  <c r="N44" i="4"/>
  <c r="K39" i="4"/>
  <c r="T30" i="4"/>
  <c r="Q54" i="4"/>
  <c r="Q55" i="4" s="1"/>
  <c r="V44" i="4"/>
  <c r="F49" i="4"/>
  <c r="F58" i="4"/>
  <c r="F59" i="4" s="1"/>
  <c r="F64" i="4" s="1"/>
  <c r="M43" i="4"/>
  <c r="M54" i="4"/>
  <c r="M55" i="4" s="1"/>
  <c r="R44" i="4"/>
  <c r="J54" i="4"/>
  <c r="J55" i="4" s="1"/>
  <c r="O44" i="4"/>
  <c r="P32" i="4"/>
  <c r="O37" i="4"/>
  <c r="S29" i="4"/>
  <c r="G48" i="4"/>
  <c r="G39" i="4"/>
  <c r="I33" i="4"/>
  <c r="H38" i="4"/>
  <c r="D31" i="1"/>
  <c r="G30" i="1"/>
  <c r="G48" i="1" s="1"/>
  <c r="G49" i="1" s="1"/>
  <c r="J31" i="1"/>
  <c r="L10" i="1"/>
  <c r="Q10" i="1"/>
  <c r="I31" i="1"/>
  <c r="H31" i="1"/>
  <c r="H48" i="1"/>
  <c r="H49" i="1" s="1"/>
  <c r="M31" i="1"/>
  <c r="M48" i="1"/>
  <c r="M49" i="1" s="1"/>
  <c r="I40" i="1"/>
  <c r="I45" i="1" s="1"/>
  <c r="I46" i="1" s="1"/>
  <c r="C31" i="1"/>
  <c r="C48" i="1"/>
  <c r="C49" i="1" s="1"/>
  <c r="R40" i="1"/>
  <c r="R48" i="1"/>
  <c r="R49" i="1" s="1"/>
  <c r="M40" i="1"/>
  <c r="H43" i="1"/>
  <c r="H45" i="1"/>
  <c r="C43" i="1"/>
  <c r="C45" i="1"/>
  <c r="R31" i="1"/>
  <c r="E31" i="1"/>
  <c r="E40" i="1"/>
  <c r="O31" i="1"/>
  <c r="O40" i="1"/>
  <c r="P31" i="1"/>
  <c r="P40" i="1"/>
  <c r="F31" i="1"/>
  <c r="F40" i="1"/>
  <c r="L15" i="1"/>
  <c r="L16" i="1" s="1"/>
  <c r="L30" i="1"/>
  <c r="L48" i="1" s="1"/>
  <c r="L49" i="1" s="1"/>
  <c r="Q40" i="1" l="1"/>
  <c r="Q45" i="1" s="1"/>
  <c r="Q46" i="1" s="1"/>
  <c r="Q31" i="1"/>
  <c r="K45" i="1"/>
  <c r="K46" i="1" s="1"/>
  <c r="D45" i="1"/>
  <c r="D46" i="1" s="1"/>
  <c r="B43" i="1"/>
  <c r="N45" i="1"/>
  <c r="N46" i="1" s="1"/>
  <c r="I43" i="1"/>
  <c r="J45" i="1"/>
  <c r="J46" i="1" s="1"/>
  <c r="G31" i="1"/>
  <c r="M3" i="4"/>
  <c r="U30" i="4"/>
  <c r="Q32" i="4"/>
  <c r="P37" i="4"/>
  <c r="V54" i="4"/>
  <c r="V55" i="4" s="1"/>
  <c r="AA44" i="4"/>
  <c r="N43" i="4"/>
  <c r="N54" i="4"/>
  <c r="N55" i="4" s="1"/>
  <c r="S44" i="4"/>
  <c r="T29" i="4"/>
  <c r="O54" i="4"/>
  <c r="O55" i="4" s="1"/>
  <c r="T44" i="4"/>
  <c r="O43" i="4"/>
  <c r="O3" i="4" s="1"/>
  <c r="R54" i="4"/>
  <c r="R55" i="4" s="1"/>
  <c r="W44" i="4"/>
  <c r="N33" i="4"/>
  <c r="M38" i="4"/>
  <c r="M39" i="4" s="1"/>
  <c r="G58" i="4"/>
  <c r="G59" i="4" s="1"/>
  <c r="G64" i="4" s="1"/>
  <c r="L48" i="4"/>
  <c r="H48" i="4"/>
  <c r="H39" i="4"/>
  <c r="J33" i="4"/>
  <c r="J38" i="4" s="1"/>
  <c r="I38" i="4"/>
  <c r="C46" i="1"/>
  <c r="C3" i="3"/>
  <c r="C22" i="3" s="1"/>
  <c r="C33" i="3" s="1"/>
  <c r="G40" i="1"/>
  <c r="G43" i="1" s="1"/>
  <c r="R43" i="1"/>
  <c r="K7" i="5" s="1"/>
  <c r="K12" i="5" s="1"/>
  <c r="K15" i="5" s="1"/>
  <c r="K4" i="5" s="1"/>
  <c r="K8" i="5" s="1"/>
  <c r="R45" i="1"/>
  <c r="F3" i="3" s="1"/>
  <c r="F22" i="3" s="1"/>
  <c r="H46" i="1"/>
  <c r="D3" i="3"/>
  <c r="D22" i="3" s="1"/>
  <c r="D33" i="3" s="1"/>
  <c r="B46" i="1"/>
  <c r="B3" i="3"/>
  <c r="B22" i="3" s="1"/>
  <c r="B33" i="3" s="1"/>
  <c r="E43" i="1"/>
  <c r="E45" i="1"/>
  <c r="E46" i="1" s="1"/>
  <c r="P43" i="1"/>
  <c r="P45" i="1"/>
  <c r="P46" i="1" s="1"/>
  <c r="O43" i="1"/>
  <c r="O45" i="1"/>
  <c r="O46" i="1" s="1"/>
  <c r="F43" i="1"/>
  <c r="F45" i="1"/>
  <c r="F46" i="1" s="1"/>
  <c r="M43" i="1"/>
  <c r="M45" i="1"/>
  <c r="L31" i="1"/>
  <c r="L40" i="1"/>
  <c r="P43" i="4" l="1"/>
  <c r="Q43" i="1"/>
  <c r="D17" i="5"/>
  <c r="G45" i="1"/>
  <c r="G46" i="1" s="1"/>
  <c r="R46" i="1"/>
  <c r="N3" i="4"/>
  <c r="AA54" i="4"/>
  <c r="AA55" i="4" s="1"/>
  <c r="AF44" i="4"/>
  <c r="AF54" i="4" s="1"/>
  <c r="AF55" i="4" s="1"/>
  <c r="O33" i="4"/>
  <c r="N38" i="4"/>
  <c r="N39" i="4" s="1"/>
  <c r="U29" i="4"/>
  <c r="R32" i="4"/>
  <c r="Q37" i="4"/>
  <c r="Y44" i="4"/>
  <c r="T54" i="4"/>
  <c r="T55" i="4" s="1"/>
  <c r="X44" i="4"/>
  <c r="X54" i="4" s="1"/>
  <c r="X55" i="4" s="1"/>
  <c r="S54" i="4"/>
  <c r="S55" i="4" s="1"/>
  <c r="V30" i="4"/>
  <c r="AB44" i="4"/>
  <c r="W54" i="4"/>
  <c r="W55" i="4" s="1"/>
  <c r="H58" i="4"/>
  <c r="H59" i="4" s="1"/>
  <c r="H64" i="4" s="1"/>
  <c r="M48" i="4"/>
  <c r="Q48" i="4"/>
  <c r="L47" i="4"/>
  <c r="L58" i="4"/>
  <c r="L59" i="4" s="1"/>
  <c r="I48" i="4"/>
  <c r="I39" i="4"/>
  <c r="J39" i="4"/>
  <c r="M46" i="1"/>
  <c r="E3" i="3"/>
  <c r="E22" i="3" s="1"/>
  <c r="E33" i="3" s="1"/>
  <c r="L43" i="1"/>
  <c r="L45" i="1"/>
  <c r="L46" i="1" s="1"/>
  <c r="L64" i="4" l="1"/>
  <c r="L9" i="4" s="1"/>
  <c r="G36" i="3"/>
  <c r="F33" i="3"/>
  <c r="L5" i="4"/>
  <c r="P33" i="4"/>
  <c r="O38" i="4"/>
  <c r="O39" i="4" s="1"/>
  <c r="S32" i="4"/>
  <c r="R37" i="4"/>
  <c r="R43" i="4" s="1"/>
  <c r="R3" i="4" s="1"/>
  <c r="V29" i="4"/>
  <c r="AG44" i="4"/>
  <c r="AG54" i="4" s="1"/>
  <c r="AG55" i="4" s="1"/>
  <c r="AB54" i="4"/>
  <c r="AB55" i="4" s="1"/>
  <c r="Y54" i="4"/>
  <c r="Y55" i="4" s="1"/>
  <c r="AD44" i="4"/>
  <c r="W30" i="4"/>
  <c r="Q43" i="4"/>
  <c r="Q3" i="4" s="1"/>
  <c r="I58" i="4"/>
  <c r="I59" i="4" s="1"/>
  <c r="I64" i="4" s="1"/>
  <c r="N48" i="4"/>
  <c r="Q58" i="4"/>
  <c r="Q59" i="4" s="1"/>
  <c r="V48" i="4"/>
  <c r="R48" i="4"/>
  <c r="M47" i="4"/>
  <c r="M58" i="4"/>
  <c r="M59" i="4" s="1"/>
  <c r="M64" i="4" s="1"/>
  <c r="M9" i="4" s="1"/>
  <c r="M5" i="4" l="1"/>
  <c r="W29" i="4"/>
  <c r="T32" i="4"/>
  <c r="S37" i="4"/>
  <c r="S43" i="4" s="1"/>
  <c r="S3" i="4" s="1"/>
  <c r="AD54" i="4"/>
  <c r="AD55" i="4" s="1"/>
  <c r="AI44" i="4"/>
  <c r="AI54" i="4" s="1"/>
  <c r="AI55" i="4" s="1"/>
  <c r="X30" i="4"/>
  <c r="Q33" i="4"/>
  <c r="P38" i="4"/>
  <c r="P39" i="4" s="1"/>
  <c r="R58" i="4"/>
  <c r="R59" i="4" s="1"/>
  <c r="W48" i="4"/>
  <c r="S48" i="4"/>
  <c r="N47" i="4"/>
  <c r="N58" i="4"/>
  <c r="N59" i="4" s="1"/>
  <c r="V58" i="4"/>
  <c r="V59" i="4" s="1"/>
  <c r="AA48" i="4"/>
  <c r="N64" i="4" l="1"/>
  <c r="N9" i="4" s="1"/>
  <c r="N5" i="4"/>
  <c r="U32" i="4"/>
  <c r="T37" i="4"/>
  <c r="T43" i="4" s="1"/>
  <c r="R33" i="4"/>
  <c r="Q38" i="4"/>
  <c r="Y30" i="4"/>
  <c r="X29" i="4"/>
  <c r="X48" i="4"/>
  <c r="S58" i="4"/>
  <c r="S59" i="4" s="1"/>
  <c r="W58" i="4"/>
  <c r="W59" i="4" s="1"/>
  <c r="AB48" i="4"/>
  <c r="AF48" i="4"/>
  <c r="AA58" i="4"/>
  <c r="AA59" i="4" s="1"/>
  <c r="U43" i="4" l="1"/>
  <c r="T3" i="4"/>
  <c r="Z30" i="4"/>
  <c r="Q47" i="4"/>
  <c r="Q39" i="4"/>
  <c r="S33" i="4"/>
  <c r="R38" i="4"/>
  <c r="Y29" i="4"/>
  <c r="V32" i="4"/>
  <c r="U37" i="4"/>
  <c r="AF58" i="4"/>
  <c r="AF59" i="4" s="1"/>
  <c r="X58" i="4"/>
  <c r="X59" i="4" s="1"/>
  <c r="AC48" i="4"/>
  <c r="AG48" i="4"/>
  <c r="AB58" i="4"/>
  <c r="AB59" i="4" s="1"/>
  <c r="U44" i="4" l="1"/>
  <c r="U54" i="4" s="1"/>
  <c r="U55" i="4" s="1"/>
  <c r="U3" i="4" s="1"/>
  <c r="U3" i="1" s="1"/>
  <c r="Q64" i="4"/>
  <c r="Q9" i="4" s="1"/>
  <c r="Q5" i="4"/>
  <c r="R39" i="4"/>
  <c r="R47" i="4"/>
  <c r="T33" i="4"/>
  <c r="S38" i="4"/>
  <c r="W32" i="4"/>
  <c r="V37" i="4"/>
  <c r="V43" i="4" s="1"/>
  <c r="V3" i="4" s="1"/>
  <c r="AA30" i="4"/>
  <c r="Z29" i="4"/>
  <c r="AG58" i="4"/>
  <c r="AG59" i="4" s="1"/>
  <c r="AC58" i="4"/>
  <c r="AC59" i="4" s="1"/>
  <c r="AH48" i="4"/>
  <c r="R64" i="4" l="1"/>
  <c r="R9" i="4" s="1"/>
  <c r="R5" i="4"/>
  <c r="X32" i="4"/>
  <c r="W37" i="4"/>
  <c r="U33" i="4"/>
  <c r="T38" i="4"/>
  <c r="AB30" i="4"/>
  <c r="S39" i="4"/>
  <c r="S47" i="4"/>
  <c r="AA29" i="4"/>
  <c r="AH58" i="4"/>
  <c r="AH59" i="4" s="1"/>
  <c r="S64" i="4" l="1"/>
  <c r="S9" i="4" s="1"/>
  <c r="S5" i="4"/>
  <c r="AC30" i="4"/>
  <c r="T39" i="4"/>
  <c r="V33" i="4"/>
  <c r="U38" i="4"/>
  <c r="U39" i="4" s="1"/>
  <c r="AB29" i="4"/>
  <c r="Y32" i="4"/>
  <c r="X37" i="4"/>
  <c r="AC29" i="4" l="1"/>
  <c r="W33" i="4"/>
  <c r="V38" i="4"/>
  <c r="Z32" i="4"/>
  <c r="Y37" i="4"/>
  <c r="AD30" i="4"/>
  <c r="V39" i="4" l="1"/>
  <c r="V47" i="4"/>
  <c r="AA32" i="4"/>
  <c r="Z37" i="4"/>
  <c r="AD29" i="4"/>
  <c r="X33" i="4"/>
  <c r="W38" i="4"/>
  <c r="AE30" i="4"/>
  <c r="V64" i="4" l="1"/>
  <c r="V9" i="4" s="1"/>
  <c r="V5" i="4"/>
  <c r="AE29" i="4"/>
  <c r="Y33" i="4"/>
  <c r="X38" i="4"/>
  <c r="AB32" i="4"/>
  <c r="AA37" i="4"/>
  <c r="AA43" i="4" s="1"/>
  <c r="AA3" i="4" s="1"/>
  <c r="W39" i="4"/>
  <c r="W47" i="4"/>
  <c r="W5" i="4" s="1"/>
  <c r="AF30" i="4"/>
  <c r="AC32" i="4" l="1"/>
  <c r="AB37" i="4"/>
  <c r="X39" i="4"/>
  <c r="X47" i="4"/>
  <c r="X5" i="4" s="1"/>
  <c r="Z33" i="4"/>
  <c r="Y38" i="4"/>
  <c r="AG30" i="4"/>
  <c r="AF29" i="4"/>
  <c r="AA33" i="4" l="1"/>
  <c r="Z38" i="4"/>
  <c r="Z39" i="4" s="1"/>
  <c r="Y39" i="4"/>
  <c r="AG29" i="4"/>
  <c r="AH30" i="4"/>
  <c r="AD32" i="4"/>
  <c r="AC37" i="4"/>
  <c r="AH29" i="4" l="1"/>
  <c r="AE32" i="4"/>
  <c r="AD37" i="4"/>
  <c r="AI30" i="4"/>
  <c r="AB33" i="4"/>
  <c r="AA38" i="4"/>
  <c r="AI29" i="4" l="1"/>
  <c r="AJ30" i="4"/>
  <c r="AF32" i="4"/>
  <c r="AE37" i="4"/>
  <c r="AA39" i="4"/>
  <c r="AA47" i="4"/>
  <c r="AC33" i="4"/>
  <c r="AB38" i="4"/>
  <c r="AA64" i="4" l="1"/>
  <c r="AA9" i="4" s="1"/>
  <c r="AA5" i="4"/>
  <c r="AG32" i="4"/>
  <c r="AF37" i="4"/>
  <c r="AJ29" i="4"/>
  <c r="AB39" i="4"/>
  <c r="AB47" i="4"/>
  <c r="AB5" i="4" s="1"/>
  <c r="AD33" i="4"/>
  <c r="AC38" i="4"/>
  <c r="AE33" i="4" l="1"/>
  <c r="AD38" i="4"/>
  <c r="AC39" i="4"/>
  <c r="AC47" i="4"/>
  <c r="AC5" i="4" s="1"/>
  <c r="AH32" i="4"/>
  <c r="AG37" i="4"/>
  <c r="AF33" i="4" l="1"/>
  <c r="AE38" i="4"/>
  <c r="AE39" i="4" s="1"/>
  <c r="AI32" i="4"/>
  <c r="AH37" i="4"/>
  <c r="AD39" i="4"/>
  <c r="AJ32" i="4" l="1"/>
  <c r="AJ37" i="4" s="1"/>
  <c r="AI37" i="4"/>
  <c r="AG33" i="4"/>
  <c r="AF38" i="4"/>
  <c r="AF47" i="4" l="1"/>
  <c r="AF5" i="4" s="1"/>
  <c r="AF39" i="4"/>
  <c r="AH33" i="4"/>
  <c r="AG38" i="4"/>
  <c r="AG47" i="4" l="1"/>
  <c r="AG5" i="4" s="1"/>
  <c r="AG39" i="4"/>
  <c r="AI33" i="4"/>
  <c r="AH38" i="4"/>
  <c r="AH47" i="4" l="1"/>
  <c r="AH5" i="4" s="1"/>
  <c r="AH39" i="4"/>
  <c r="AJ33" i="4"/>
  <c r="AJ38" i="4" s="1"/>
  <c r="AJ39" i="4" s="1"/>
  <c r="AI38" i="4"/>
  <c r="P44" i="4" l="1"/>
  <c r="P45" i="4" s="1"/>
  <c r="AI39" i="4"/>
  <c r="W43" i="4"/>
  <c r="P54" i="4" l="1"/>
  <c r="P55" i="4" s="1"/>
  <c r="U45" i="4"/>
  <c r="W64" i="4"/>
  <c r="W9" i="4" s="1"/>
  <c r="W3" i="4"/>
  <c r="Y43" i="4"/>
  <c r="P3" i="4" l="1"/>
  <c r="T3" i="1" s="1"/>
  <c r="T4" i="1" s="1"/>
  <c r="Y3" i="4"/>
  <c r="AB43" i="4"/>
  <c r="U4" i="4" l="1"/>
  <c r="P4" i="4"/>
  <c r="U4" i="1"/>
  <c r="AB64" i="4"/>
  <c r="AB9" i="4" s="1"/>
  <c r="AB3" i="4"/>
  <c r="AD43" i="4"/>
  <c r="AD3" i="4" l="1"/>
  <c r="AF43" i="4"/>
  <c r="AF64" i="4" l="1"/>
  <c r="AF9" i="4" s="1"/>
  <c r="AF3" i="4"/>
  <c r="AG43" i="4"/>
  <c r="AG64" i="4" l="1"/>
  <c r="AG9" i="4" s="1"/>
  <c r="AG3" i="4"/>
  <c r="AI43" i="4"/>
  <c r="X43" i="4"/>
  <c r="X3" i="4" s="1"/>
  <c r="AC44" i="4"/>
  <c r="AI3" i="4" l="1"/>
  <c r="Z43" i="4"/>
  <c r="X64" i="4"/>
  <c r="X9" i="4" s="1"/>
  <c r="AE44" i="4"/>
  <c r="AE54" i="4" s="1"/>
  <c r="AE55" i="4" s="1"/>
  <c r="AC54" i="4"/>
  <c r="AC55" i="4" s="1"/>
  <c r="AC43" i="4"/>
  <c r="AH44" i="4"/>
  <c r="AH54" i="4" s="1"/>
  <c r="AH55" i="4" s="1"/>
  <c r="AE43" i="4" l="1"/>
  <c r="AE3" i="4" s="1"/>
  <c r="W3" i="1" s="1"/>
  <c r="AC3" i="4"/>
  <c r="Z44" i="4"/>
  <c r="Z45" i="4" s="1"/>
  <c r="AC64" i="4"/>
  <c r="AC9" i="4" s="1"/>
  <c r="AH43" i="4"/>
  <c r="AE45" i="4" l="1"/>
  <c r="AJ43" i="4"/>
  <c r="AH3" i="4"/>
  <c r="Z54" i="4"/>
  <c r="Z55" i="4" s="1"/>
  <c r="AH64" i="4"/>
  <c r="AH9" i="4" s="1"/>
  <c r="Z3" i="4" l="1"/>
  <c r="V3" i="1" s="1"/>
  <c r="AJ44" i="4"/>
  <c r="V4" i="1" l="1"/>
  <c r="W4" i="1"/>
  <c r="AJ45" i="4"/>
  <c r="AJ54" i="4"/>
  <c r="AJ55" i="4" s="1"/>
  <c r="Z4" i="4"/>
  <c r="AE4" i="4"/>
  <c r="AJ3" i="4" l="1"/>
  <c r="AJ4" i="4" l="1"/>
  <c r="X3" i="1"/>
  <c r="X4" i="1" s="1"/>
  <c r="K6" i="4" l="1"/>
  <c r="S5" i="1"/>
  <c r="S6" i="1" s="1"/>
  <c r="J9" i="4"/>
  <c r="K47" i="4"/>
  <c r="K48" i="4" s="1"/>
  <c r="J5" i="4"/>
  <c r="J47" i="4" s="1"/>
  <c r="J48" i="4" s="1"/>
  <c r="J58" i="4" l="1"/>
  <c r="J59" i="4" s="1"/>
  <c r="J64" i="4" s="1"/>
  <c r="O48" i="4"/>
  <c r="K49" i="4"/>
  <c r="K58" i="4"/>
  <c r="K59" i="4" s="1"/>
  <c r="K64" i="4" s="1"/>
  <c r="S9" i="1"/>
  <c r="K10" i="4"/>
  <c r="O47" i="4" l="1"/>
  <c r="T48" i="4"/>
  <c r="O58" i="4"/>
  <c r="O59" i="4" s="1"/>
  <c r="S18" i="1"/>
  <c r="S10" i="1"/>
  <c r="S24" i="1"/>
  <c r="S15" i="1"/>
  <c r="S16" i="1" s="1"/>
  <c r="G8" i="2"/>
  <c r="G15" i="2"/>
  <c r="G19" i="3" s="1"/>
  <c r="S20" i="1"/>
  <c r="G24" i="2"/>
  <c r="O64" i="4" l="1"/>
  <c r="O9" i="4" s="1"/>
  <c r="Y48" i="4"/>
  <c r="T58" i="4"/>
  <c r="T59" i="4" s="1"/>
  <c r="T47" i="4"/>
  <c r="G17" i="3"/>
  <c r="G71" i="2"/>
  <c r="G44" i="3"/>
  <c r="G45" i="3" s="1"/>
  <c r="C7" i="5" s="1"/>
  <c r="G23" i="2"/>
  <c r="G26" i="3"/>
  <c r="O5" i="4"/>
  <c r="P47" i="4"/>
  <c r="T5" i="4" l="1"/>
  <c r="U47" i="4"/>
  <c r="Y58" i="4"/>
  <c r="Y59" i="4" s="1"/>
  <c r="Y47" i="4"/>
  <c r="AD48" i="4"/>
  <c r="G26" i="2"/>
  <c r="P48" i="4"/>
  <c r="T64" i="4"/>
  <c r="T9" i="4" s="1"/>
  <c r="G27" i="3"/>
  <c r="C8" i="5"/>
  <c r="U48" i="4" l="1"/>
  <c r="G28" i="2"/>
  <c r="S22" i="1"/>
  <c r="G5" i="3"/>
  <c r="C5" i="5" s="1"/>
  <c r="AD47" i="4"/>
  <c r="AI48" i="4"/>
  <c r="AD58" i="4"/>
  <c r="AD59" i="4" s="1"/>
  <c r="AD64" i="4" s="1"/>
  <c r="AD9" i="4" s="1"/>
  <c r="Z47" i="4"/>
  <c r="Y5" i="4"/>
  <c r="Y64" i="4"/>
  <c r="Y9" i="4" s="1"/>
  <c r="P49" i="4"/>
  <c r="P58" i="4"/>
  <c r="P59" i="4" s="1"/>
  <c r="AE47" i="4" l="1"/>
  <c r="AD5" i="4"/>
  <c r="G29" i="2"/>
  <c r="G72" i="2" s="1"/>
  <c r="AI47" i="4"/>
  <c r="AI58" i="4"/>
  <c r="AI59" i="4" s="1"/>
  <c r="AI64" i="4" s="1"/>
  <c r="AI9" i="4" s="1"/>
  <c r="P64" i="4"/>
  <c r="P9" i="4" s="1"/>
  <c r="P5" i="4"/>
  <c r="S23" i="1"/>
  <c r="S27" i="1"/>
  <c r="S30" i="1" s="1"/>
  <c r="Z48" i="4"/>
  <c r="U49" i="4"/>
  <c r="U58" i="4"/>
  <c r="U59" i="4" s="1"/>
  <c r="T9" i="1" l="1"/>
  <c r="P10" i="4"/>
  <c r="U64" i="4"/>
  <c r="U9" i="4" s="1"/>
  <c r="U5" i="4"/>
  <c r="AJ47" i="4"/>
  <c r="AI5" i="4"/>
  <c r="Z58" i="4"/>
  <c r="Z59" i="4" s="1"/>
  <c r="Z49" i="4"/>
  <c r="P6" i="4"/>
  <c r="T5" i="1"/>
  <c r="T6" i="1" s="1"/>
  <c r="S40" i="1"/>
  <c r="S48" i="1"/>
  <c r="S31" i="1"/>
  <c r="C4" i="5"/>
  <c r="AE48" i="4"/>
  <c r="Z64" i="4" l="1"/>
  <c r="Z9" i="4" s="1"/>
  <c r="Z5" i="4"/>
  <c r="S49" i="1"/>
  <c r="C3" i="5"/>
  <c r="AE49" i="4"/>
  <c r="AE58" i="4"/>
  <c r="AE59" i="4" s="1"/>
  <c r="AJ48" i="4"/>
  <c r="U6" i="4"/>
  <c r="U5" i="1"/>
  <c r="U6" i="1" s="1"/>
  <c r="S42" i="1"/>
  <c r="C6" i="5" s="1"/>
  <c r="C9" i="5" s="1"/>
  <c r="C10" i="5" s="1"/>
  <c r="U9" i="1"/>
  <c r="U10" i="4"/>
  <c r="T24" i="1"/>
  <c r="H24" i="2"/>
  <c r="T10" i="1"/>
  <c r="H8" i="2"/>
  <c r="H15" i="2"/>
  <c r="H19" i="3" s="1"/>
  <c r="T15" i="1"/>
  <c r="T16" i="1" s="1"/>
  <c r="T18" i="1"/>
  <c r="T20" i="1"/>
  <c r="I15" i="2" l="1"/>
  <c r="I19" i="3" s="1"/>
  <c r="U15" i="1"/>
  <c r="U16" i="1" s="1"/>
  <c r="I24" i="2"/>
  <c r="I26" i="3" s="1"/>
  <c r="U24" i="1"/>
  <c r="U18" i="1"/>
  <c r="I8" i="2"/>
  <c r="U20" i="1"/>
  <c r="U10" i="1"/>
  <c r="AE64" i="4"/>
  <c r="AE9" i="4" s="1"/>
  <c r="AE5" i="4"/>
  <c r="S45" i="1"/>
  <c r="Z6" i="4"/>
  <c r="V5" i="1"/>
  <c r="V6" i="1" s="1"/>
  <c r="H44" i="3"/>
  <c r="H45" i="3" s="1"/>
  <c r="D7" i="5" s="1"/>
  <c r="H17" i="3"/>
  <c r="H26" i="3"/>
  <c r="H23" i="2"/>
  <c r="AJ58" i="4"/>
  <c r="AJ59" i="4" s="1"/>
  <c r="AJ49" i="4"/>
  <c r="V9" i="1"/>
  <c r="Z10" i="4"/>
  <c r="I17" i="3" l="1"/>
  <c r="I44" i="3"/>
  <c r="I45" i="3" s="1"/>
  <c r="E7" i="5" s="1"/>
  <c r="I23" i="2"/>
  <c r="H26" i="2"/>
  <c r="S46" i="1"/>
  <c r="G59" i="2"/>
  <c r="G3" i="3"/>
  <c r="AJ64" i="4"/>
  <c r="AJ9" i="4" s="1"/>
  <c r="AJ5" i="4"/>
  <c r="AE10" i="4"/>
  <c r="W9" i="1"/>
  <c r="V10" i="1"/>
  <c r="V15" i="1"/>
  <c r="V16" i="1" s="1"/>
  <c r="V24" i="1"/>
  <c r="V20" i="1"/>
  <c r="J8" i="2"/>
  <c r="J24" i="2"/>
  <c r="J26" i="3" s="1"/>
  <c r="V18" i="1"/>
  <c r="J15" i="2"/>
  <c r="J19" i="3" s="1"/>
  <c r="AE6" i="4"/>
  <c r="W5" i="1"/>
  <c r="W6" i="1" s="1"/>
  <c r="E8" i="5"/>
  <c r="I27" i="3"/>
  <c r="H27" i="3"/>
  <c r="D8" i="5"/>
  <c r="G22" i="3" l="1"/>
  <c r="G33" i="3" s="1"/>
  <c r="G37" i="3" s="1"/>
  <c r="G64" i="2"/>
  <c r="G66" i="2" s="1"/>
  <c r="G68" i="2" s="1"/>
  <c r="G75" i="2"/>
  <c r="T22" i="1"/>
  <c r="H5" i="3"/>
  <c r="D5" i="5" s="1"/>
  <c r="H28" i="2"/>
  <c r="K8" i="2"/>
  <c r="K15" i="2"/>
  <c r="K19" i="3" s="1"/>
  <c r="W10" i="1"/>
  <c r="K24" i="2"/>
  <c r="K26" i="3" s="1"/>
  <c r="W15" i="1"/>
  <c r="W16" i="1" s="1"/>
  <c r="W24" i="1"/>
  <c r="W20" i="1"/>
  <c r="W18" i="1"/>
  <c r="J23" i="2"/>
  <c r="I26" i="2"/>
  <c r="J17" i="3"/>
  <c r="J44" i="3"/>
  <c r="J45" i="3" s="1"/>
  <c r="F7" i="5" s="1"/>
  <c r="X9" i="1"/>
  <c r="AJ10" i="4"/>
  <c r="F8" i="5"/>
  <c r="J27" i="3"/>
  <c r="AJ6" i="4"/>
  <c r="X5" i="1"/>
  <c r="X6" i="1" s="1"/>
  <c r="G4" i="2" l="1"/>
  <c r="G18" i="2" s="1"/>
  <c r="H36" i="3"/>
  <c r="I28" i="2"/>
  <c r="H29" i="2"/>
  <c r="K17" i="3"/>
  <c r="K44" i="3"/>
  <c r="K45" i="3" s="1"/>
  <c r="G7" i="5" s="1"/>
  <c r="X18" i="1"/>
  <c r="X15" i="1"/>
  <c r="X16" i="1" s="1"/>
  <c r="L15" i="2"/>
  <c r="L19" i="3" s="1"/>
  <c r="L8" i="2"/>
  <c r="X10" i="1"/>
  <c r="X24" i="1"/>
  <c r="L24" i="2"/>
  <c r="L26" i="3" s="1"/>
  <c r="X20" i="1"/>
  <c r="T23" i="1"/>
  <c r="T27" i="1"/>
  <c r="T30" i="1" s="1"/>
  <c r="U22" i="1"/>
  <c r="I5" i="3"/>
  <c r="E5" i="5" s="1"/>
  <c r="G8" i="5"/>
  <c r="K27" i="3"/>
  <c r="J26" i="2"/>
  <c r="K23" i="2"/>
  <c r="G35" i="2" l="1"/>
  <c r="G69" i="2" s="1"/>
  <c r="L27" i="3"/>
  <c r="H8" i="5"/>
  <c r="K26" i="2"/>
  <c r="L23" i="2"/>
  <c r="J28" i="2"/>
  <c r="I29" i="2"/>
  <c r="V22" i="1"/>
  <c r="J5" i="3"/>
  <c r="F5" i="5" s="1"/>
  <c r="L44" i="3"/>
  <c r="L45" i="3" s="1"/>
  <c r="H7" i="5" s="1"/>
  <c r="L17" i="3"/>
  <c r="U23" i="1"/>
  <c r="U27" i="1"/>
  <c r="U30" i="1" s="1"/>
  <c r="D4" i="5"/>
  <c r="T31" i="1"/>
  <c r="T40" i="1"/>
  <c r="T48" i="1"/>
  <c r="K28" i="2" l="1"/>
  <c r="J29" i="2"/>
  <c r="L26" i="2"/>
  <c r="W22" i="1"/>
  <c r="K5" i="3"/>
  <c r="G5" i="5" s="1"/>
  <c r="U48" i="1"/>
  <c r="E4" i="5"/>
  <c r="U40" i="1"/>
  <c r="U31" i="1"/>
  <c r="T49" i="1"/>
  <c r="D3" i="5"/>
  <c r="T42" i="1"/>
  <c r="D6" i="5" s="1"/>
  <c r="D9" i="5" s="1"/>
  <c r="D10" i="5" s="1"/>
  <c r="V23" i="1"/>
  <c r="V27" i="1"/>
  <c r="V30" i="1" s="1"/>
  <c r="E3" i="5" l="1"/>
  <c r="U49" i="1"/>
  <c r="W23" i="1"/>
  <c r="W27" i="1"/>
  <c r="W30" i="1" s="1"/>
  <c r="L28" i="2"/>
  <c r="L29" i="2" s="1"/>
  <c r="K29" i="2"/>
  <c r="T45" i="1"/>
  <c r="X22" i="1"/>
  <c r="L5" i="3"/>
  <c r="H5" i="5" s="1"/>
  <c r="U42" i="1"/>
  <c r="E6" i="5" s="1"/>
  <c r="E9" i="5" s="1"/>
  <c r="E10" i="5" s="1"/>
  <c r="F4" i="5"/>
  <c r="V31" i="1"/>
  <c r="V40" i="1"/>
  <c r="V48" i="1"/>
  <c r="U45" i="1" l="1"/>
  <c r="U46" i="1" s="1"/>
  <c r="H3" i="3"/>
  <c r="H22" i="3" s="1"/>
  <c r="H33" i="3" s="1"/>
  <c r="H37" i="3" s="1"/>
  <c r="T46" i="1"/>
  <c r="H59" i="2"/>
  <c r="X23" i="1"/>
  <c r="X27" i="1"/>
  <c r="X30" i="1" s="1"/>
  <c r="F3" i="5"/>
  <c r="V49" i="1"/>
  <c r="V42" i="1"/>
  <c r="F6" i="5" s="1"/>
  <c r="F9" i="5" s="1"/>
  <c r="F10" i="5" s="1"/>
  <c r="W40" i="1"/>
  <c r="W31" i="1"/>
  <c r="G4" i="5"/>
  <c r="W48" i="1"/>
  <c r="I3" i="3" l="1"/>
  <c r="I22" i="3" s="1"/>
  <c r="I33" i="3" s="1"/>
  <c r="V45" i="1"/>
  <c r="J3" i="3" s="1"/>
  <c r="J22" i="3" s="1"/>
  <c r="J33" i="3" s="1"/>
  <c r="X40" i="1"/>
  <c r="X48" i="1"/>
  <c r="H4" i="5"/>
  <c r="X31" i="1"/>
  <c r="W42" i="1"/>
  <c r="G6" i="5" s="1"/>
  <c r="G9" i="5" s="1"/>
  <c r="G10" i="5" s="1"/>
  <c r="G3" i="5"/>
  <c r="W49" i="1"/>
  <c r="H64" i="2"/>
  <c r="H66" i="2" s="1"/>
  <c r="H68" i="2" s="1"/>
  <c r="I59" i="2"/>
  <c r="H4" i="2"/>
  <c r="H18" i="2" s="1"/>
  <c r="I36" i="3"/>
  <c r="H35" i="2" l="1"/>
  <c r="H69" i="2" s="1"/>
  <c r="W45" i="1"/>
  <c r="W46" i="1" s="1"/>
  <c r="I37" i="3"/>
  <c r="I4" i="2" s="1"/>
  <c r="I18" i="2" s="1"/>
  <c r="V46" i="1"/>
  <c r="H3" i="5"/>
  <c r="G16" i="5" s="1"/>
  <c r="G17" i="5" s="1"/>
  <c r="X49" i="1"/>
  <c r="I64" i="2"/>
  <c r="I66" i="2" s="1"/>
  <c r="I68" i="2" s="1"/>
  <c r="J59" i="2"/>
  <c r="X42" i="1"/>
  <c r="H6" i="5" s="1"/>
  <c r="H9" i="5" s="1"/>
  <c r="I35" i="2" l="1"/>
  <c r="I69" i="2" s="1"/>
  <c r="J36" i="3"/>
  <c r="J37" i="3" s="1"/>
  <c r="K36" i="3" s="1"/>
  <c r="K3" i="3"/>
  <c r="K22" i="3" s="1"/>
  <c r="K33" i="3" s="1"/>
  <c r="D15" i="5"/>
  <c r="D18" i="5" s="1"/>
  <c r="D19" i="5" s="1"/>
  <c r="H10" i="5"/>
  <c r="C12" i="5" s="1"/>
  <c r="G18" i="5" s="1"/>
  <c r="G21" i="5" s="1"/>
  <c r="G23" i="5" s="1"/>
  <c r="J64" i="2"/>
  <c r="J66" i="2" s="1"/>
  <c r="J68" i="2" s="1"/>
  <c r="K59" i="2"/>
  <c r="X45" i="1"/>
  <c r="J4" i="2" l="1"/>
  <c r="K37" i="3"/>
  <c r="K4" i="2" s="1"/>
  <c r="K18" i="2" s="1"/>
  <c r="G25" i="5"/>
  <c r="D41" i="5" s="1"/>
  <c r="B4" i="7"/>
  <c r="X46" i="1"/>
  <c r="L3" i="3"/>
  <c r="L22" i="3" s="1"/>
  <c r="L33" i="3" s="1"/>
  <c r="L59" i="2"/>
  <c r="L64" i="2" s="1"/>
  <c r="L66" i="2" s="1"/>
  <c r="L68" i="2" s="1"/>
  <c r="K64" i="2"/>
  <c r="K66" i="2" s="1"/>
  <c r="K68" i="2" s="1"/>
  <c r="D20" i="5"/>
  <c r="D23" i="5" s="1"/>
  <c r="D25" i="5" s="1"/>
  <c r="D27" i="5" s="1"/>
  <c r="D31" i="5" s="1"/>
  <c r="J18" i="2" l="1"/>
  <c r="J35" i="2" s="1"/>
  <c r="J69" i="2" s="1"/>
  <c r="L36" i="3"/>
  <c r="L37" i="3" s="1"/>
  <c r="L4" i="2" s="1"/>
  <c r="L18" i="2" s="1"/>
  <c r="K35" i="2"/>
  <c r="K69" i="2" s="1"/>
  <c r="B5" i="7"/>
  <c r="L35" i="2" l="1"/>
  <c r="L69" i="2" s="1"/>
</calcChain>
</file>

<file path=xl/sharedStrings.xml><?xml version="1.0" encoding="utf-8"?>
<sst xmlns="http://schemas.openxmlformats.org/spreadsheetml/2006/main" count="411" uniqueCount="302">
  <si>
    <t>Fiscal Year Ended</t>
  </si>
  <si>
    <t>Net revenues:</t>
  </si>
  <si>
    <t>Company-operated stores</t>
  </si>
  <si>
    <t>Licensed stores</t>
  </si>
  <si>
    <t>CPG, foodservice and other</t>
  </si>
  <si>
    <t>Total net revenues</t>
  </si>
  <si>
    <t>Cost of sales including occupancy costs</t>
  </si>
  <si>
    <t>Store operating expenses</t>
  </si>
  <si>
    <t>Other operating expenses</t>
  </si>
  <si>
    <t>Depreciation and amortization expenses</t>
  </si>
  <si>
    <t>General and administrative expenses</t>
  </si>
  <si>
    <t>Litigation credit</t>
  </si>
  <si>
    <t>Income from equity investees</t>
  </si>
  <si>
    <t>Gain resulting from acquisition of joint venture</t>
  </si>
  <si>
    <t>Interest income and other, net</t>
  </si>
  <si>
    <t>Interest expense</t>
  </si>
  <si>
    <t>Net earnings including noncontrolling interests</t>
  </si>
  <si>
    <t>2014A</t>
  </si>
  <si>
    <t>2015A</t>
  </si>
  <si>
    <t>2016A</t>
  </si>
  <si>
    <t xml:space="preserve"> - </t>
  </si>
  <si>
    <t>2017A</t>
  </si>
  <si>
    <t>2018A</t>
  </si>
  <si>
    <t>3Q 2018</t>
  </si>
  <si>
    <t>3Q 2017</t>
  </si>
  <si>
    <t>2Q 2018</t>
  </si>
  <si>
    <t>2Q 2017</t>
  </si>
  <si>
    <t>1Q 2018</t>
  </si>
  <si>
    <t>1Q 2017</t>
  </si>
  <si>
    <t>2Q 2016</t>
  </si>
  <si>
    <t>1Q 2016</t>
  </si>
  <si>
    <t>3Q 2016</t>
  </si>
  <si>
    <t>4Q 2017</t>
  </si>
  <si>
    <t>4Q 2018</t>
  </si>
  <si>
    <t>4Q 2016</t>
  </si>
  <si>
    <t>Y/y growth</t>
  </si>
  <si>
    <t>Total cost of products</t>
  </si>
  <si>
    <t>Gross margin</t>
  </si>
  <si>
    <t>Gross income</t>
  </si>
  <si>
    <t>Operating income (EBIT)</t>
  </si>
  <si>
    <t>Operating costs (excl. COGS)</t>
  </si>
  <si>
    <t>EBIT margin</t>
  </si>
  <si>
    <t>Interest expense, net</t>
  </si>
  <si>
    <t>Pretax income</t>
  </si>
  <si>
    <t>Provision for income taxes</t>
  </si>
  <si>
    <t>Effective tax rate</t>
  </si>
  <si>
    <t xml:space="preserve">Net income </t>
  </si>
  <si>
    <t>Net income margin</t>
  </si>
  <si>
    <t>EBITDA</t>
  </si>
  <si>
    <t>EBITDA margin</t>
  </si>
  <si>
    <t>ASSETS</t>
  </si>
  <si>
    <t>Current assets:</t>
  </si>
  <si>
    <t>Cash and cash equivalents</t>
  </si>
  <si>
    <t>Short-term investments</t>
  </si>
  <si>
    <t>Accounts receivable, net</t>
  </si>
  <si>
    <t>Inventories</t>
  </si>
  <si>
    <t>Prepaid expenses and other current assets</t>
  </si>
  <si>
    <t>Total current assets</t>
  </si>
  <si>
    <t>Long-term investments</t>
  </si>
  <si>
    <t>Equity and cost investments</t>
  </si>
  <si>
    <t>Deferred income taxes, net</t>
  </si>
  <si>
    <t>Other long-term assets</t>
  </si>
  <si>
    <t>Other intangible assets</t>
  </si>
  <si>
    <t>Goodwill</t>
  </si>
  <si>
    <t>TOTAL ASSETS</t>
  </si>
  <si>
    <t>LIABILITIES AND EQUITY</t>
  </si>
  <si>
    <t>Current liabilities:</t>
  </si>
  <si>
    <t>Accounts payable</t>
  </si>
  <si>
    <t>Accrued liabilities</t>
  </si>
  <si>
    <t>Insurance reserves</t>
  </si>
  <si>
    <t>Stored value card liability and current portion of deferred revenue</t>
  </si>
  <si>
    <t>Current portion of long-term debt</t>
  </si>
  <si>
    <t>Total current liabilities</t>
  </si>
  <si>
    <t>Long-term debt</t>
  </si>
  <si>
    <t>Deferred revenue</t>
  </si>
  <si>
    <t>Other long-term liabilities</t>
  </si>
  <si>
    <t>Total liabilities</t>
  </si>
  <si>
    <t>Shareholders' equity:</t>
  </si>
  <si>
    <t>Common stock ($0.001 par value) - authorized, 2,400.0 shares; issued and outstanding, 1,309.1 and 1,431.6 shares, respectively</t>
  </si>
  <si>
    <t>Additional paid-in capital</t>
  </si>
  <si>
    <t>Retained earnings</t>
  </si>
  <si>
    <t>Accumulated other comprehensive loss</t>
  </si>
  <si>
    <t>Total shareholders' equity</t>
  </si>
  <si>
    <t>Noncontrolling interests</t>
  </si>
  <si>
    <t>Total equity</t>
  </si>
  <si>
    <t>TOTAL LIABILITIES AND EQUITY</t>
  </si>
  <si>
    <t>Short-term debt</t>
  </si>
  <si>
    <t>OPERATING ACTIVITIES:</t>
  </si>
  <si>
    <t>Adjustments to reconcile net earnings to net cash provided by operating activities:</t>
  </si>
  <si>
    <t>Depreciation and amortization</t>
  </si>
  <si>
    <t>Income earned from equity method investees</t>
  </si>
  <si>
    <t>Net gain resulting from divestiture of certain retail operations</t>
  </si>
  <si>
    <t>Stock-based compensation</t>
  </si>
  <si>
    <t>Cash provided by changes in operating assets and liabilities:</t>
  </si>
  <si>
    <t>Accounts receivable</t>
  </si>
  <si>
    <t>Net cash provided by operating activities</t>
  </si>
  <si>
    <t>INVESTING ACTIVITIES:</t>
  </si>
  <si>
    <t>Purchases of investments</t>
  </si>
  <si>
    <t>Net cash used by investing activities</t>
  </si>
  <si>
    <t>FINANCING ACTIVITIES:</t>
  </si>
  <si>
    <t>Cash dividends paid</t>
  </si>
  <si>
    <t>Net cash used by financing activities</t>
  </si>
  <si>
    <t>CASH AND CASH EQUIVALENTS:</t>
  </si>
  <si>
    <t>Beginning of period</t>
  </si>
  <si>
    <t>End of period</t>
  </si>
  <si>
    <t>SUPPLEMENTAL DISCLOSURE OF CASH FLOW INFORMATION:</t>
  </si>
  <si>
    <t>Cash paid during the period for:</t>
  </si>
  <si>
    <t>Interest, net of capitalized interest</t>
  </si>
  <si>
    <t>Income taxes, net of refunds</t>
  </si>
  <si>
    <t>Accrued liabilities and insurance reserves</t>
  </si>
  <si>
    <t>Net (decrease)/increase in cash and cash equivalents</t>
  </si>
  <si>
    <t>Q1 2019</t>
  </si>
  <si>
    <t>Q2 2019</t>
  </si>
  <si>
    <t>Q3 2019</t>
  </si>
  <si>
    <t>1Q 2019</t>
  </si>
  <si>
    <t>2Q 2019</t>
  </si>
  <si>
    <t>3Q 2019</t>
  </si>
  <si>
    <t>2019E</t>
  </si>
  <si>
    <t>2020E</t>
  </si>
  <si>
    <t>2021E</t>
  </si>
  <si>
    <t>2022E</t>
  </si>
  <si>
    <t>2023E</t>
  </si>
  <si>
    <t>2024E</t>
  </si>
  <si>
    <t>% of revenue</t>
  </si>
  <si>
    <t>% growth</t>
  </si>
  <si>
    <t>Days inventory outstanding</t>
  </si>
  <si>
    <t>Inventory turnover</t>
  </si>
  <si>
    <t>Days receivable outstanding</t>
  </si>
  <si>
    <t>Days outstanding</t>
  </si>
  <si>
    <t>Property at cost:</t>
  </si>
  <si>
    <t>Less accumulated depreciation and amortization</t>
  </si>
  <si>
    <t>Net property at cost</t>
  </si>
  <si>
    <t>Depreciation</t>
  </si>
  <si>
    <t>Share based comp</t>
  </si>
  <si>
    <t>Dividends</t>
  </si>
  <si>
    <t>Capital expenditure (additions to property, plant and equipment)</t>
  </si>
  <si>
    <t>4Q 2019</t>
  </si>
  <si>
    <t>1Q 2020</t>
  </si>
  <si>
    <t>2Q 2020</t>
  </si>
  <si>
    <t>3Q 2020</t>
  </si>
  <si>
    <t>4Q  2020</t>
  </si>
  <si>
    <t>1Q 2021</t>
  </si>
  <si>
    <t>2Q 2021</t>
  </si>
  <si>
    <t>3Q 2021</t>
  </si>
  <si>
    <t>1Q 2022</t>
  </si>
  <si>
    <t>2Q 2022</t>
  </si>
  <si>
    <t>3Q 2022</t>
  </si>
  <si>
    <t>4Q 2022</t>
  </si>
  <si>
    <t>1Q 2023</t>
  </si>
  <si>
    <t>2Q 2023</t>
  </si>
  <si>
    <t>3Q 2023</t>
  </si>
  <si>
    <t>4Q 2023</t>
  </si>
  <si>
    <t>1Q 2024</t>
  </si>
  <si>
    <t>2Q 2024</t>
  </si>
  <si>
    <t>3Q 2024</t>
  </si>
  <si>
    <t>4Q 2024</t>
  </si>
  <si>
    <t>4Q 2021</t>
  </si>
  <si>
    <t>Net stores opened/closed and transferred:</t>
  </si>
  <si>
    <t>Company operated stores</t>
  </si>
  <si>
    <t>Americas:</t>
  </si>
  <si>
    <t>All other segments</t>
  </si>
  <si>
    <t>Total stores opened/closed and transferred</t>
  </si>
  <si>
    <t>2019A</t>
  </si>
  <si>
    <t>Total stores at end of period:</t>
  </si>
  <si>
    <t>Same store sales:</t>
  </si>
  <si>
    <t>Total company operated stores</t>
  </si>
  <si>
    <t>Total licensed stores</t>
  </si>
  <si>
    <t>Company operated stores:</t>
  </si>
  <si>
    <t>Total sales</t>
  </si>
  <si>
    <t>Comparable sales per store</t>
  </si>
  <si>
    <t>Comparable sales growth</t>
  </si>
  <si>
    <t>Licensed stores:</t>
  </si>
  <si>
    <t>Total stores</t>
  </si>
  <si>
    <t>Company operated store count change</t>
  </si>
  <si>
    <t>Licensed store count change</t>
  </si>
  <si>
    <t>International:</t>
  </si>
  <si>
    <t>New store sales:</t>
  </si>
  <si>
    <t>Number of new stores</t>
  </si>
  <si>
    <t>Net revenue</t>
  </si>
  <si>
    <t>Other sales</t>
  </si>
  <si>
    <t>% of sales</t>
  </si>
  <si>
    <t>Net gain from divestiture of certain operations</t>
  </si>
  <si>
    <t>USD: millions</t>
  </si>
  <si>
    <t>WACC</t>
  </si>
  <si>
    <t>% Equity</t>
  </si>
  <si>
    <t>Re</t>
  </si>
  <si>
    <t>Rd</t>
  </si>
  <si>
    <t>Tax Rate</t>
  </si>
  <si>
    <t>Unlevered FCF</t>
  </si>
  <si>
    <t>CAPM</t>
  </si>
  <si>
    <t>Beta</t>
  </si>
  <si>
    <t>MRP</t>
  </si>
  <si>
    <t>Rf Rate</t>
  </si>
  <si>
    <t>NPV</t>
  </si>
  <si>
    <t>(+) D&amp;A</t>
  </si>
  <si>
    <t>(-) Taxes</t>
  </si>
  <si>
    <t>Multiple</t>
  </si>
  <si>
    <t>Growth rate</t>
  </si>
  <si>
    <t>Discount factor</t>
  </si>
  <si>
    <t>TV in 2024</t>
  </si>
  <si>
    <t>EV/EBITDA</t>
  </si>
  <si>
    <t>NPV of TV</t>
  </si>
  <si>
    <t xml:space="preserve">NPV of Projection Period </t>
  </si>
  <si>
    <t>Enterprise Value</t>
  </si>
  <si>
    <t>(-Debt)</t>
  </si>
  <si>
    <t>(+Cash)</t>
  </si>
  <si>
    <t>Equity Value</t>
  </si>
  <si>
    <t>Diluted shares outstanding</t>
  </si>
  <si>
    <t>Target Price</t>
  </si>
  <si>
    <t>Current Share Price</t>
  </si>
  <si>
    <t>Implied Upside</t>
  </si>
  <si>
    <t>Sensitivity Analysis</t>
  </si>
  <si>
    <t>Perpetuity Growth Rate</t>
  </si>
  <si>
    <t>Gross PP&amp;E</t>
  </si>
  <si>
    <t>Capex</t>
  </si>
  <si>
    <t>% of gross PP&amp;E</t>
  </si>
  <si>
    <t>Name</t>
  </si>
  <si>
    <t>Ticker</t>
  </si>
  <si>
    <t>Market Cap</t>
  </si>
  <si>
    <t>LTM P/E</t>
  </si>
  <si>
    <t>FWD P/E</t>
  </si>
  <si>
    <t>LTM EV/EBITDA</t>
  </si>
  <si>
    <t>NTM EV/EBITDA</t>
  </si>
  <si>
    <t>P/S</t>
  </si>
  <si>
    <t>LTM EV/Rev</t>
  </si>
  <si>
    <t>NTM EV/Rev</t>
  </si>
  <si>
    <t>EV/Unlevered FCF</t>
  </si>
  <si>
    <t>Starbucks Corp</t>
  </si>
  <si>
    <t>SBUX</t>
  </si>
  <si>
    <t>Dunkin' Brands Group Inc</t>
  </si>
  <si>
    <t>DNKN</t>
  </si>
  <si>
    <t>McDonald's Corp</t>
  </si>
  <si>
    <t>MCD</t>
  </si>
  <si>
    <t>99.88B</t>
  </si>
  <si>
    <t>6.33B</t>
  </si>
  <si>
    <t>146.99B</t>
  </si>
  <si>
    <t>17.11x</t>
  </si>
  <si>
    <t>18.99x</t>
  </si>
  <si>
    <t>17.96x</t>
  </si>
  <si>
    <t>27.71x</t>
  </si>
  <si>
    <t>24.42x</t>
  </si>
  <si>
    <t>24.89x</t>
  </si>
  <si>
    <t>24.74x</t>
  </si>
  <si>
    <t>23.22x</t>
  </si>
  <si>
    <t>22.99x</t>
  </si>
  <si>
    <t>15.64x</t>
  </si>
  <si>
    <t>18.22x</t>
  </si>
  <si>
    <t>17.04x</t>
  </si>
  <si>
    <t>3.90x</t>
  </si>
  <si>
    <t>4.70x</t>
  </si>
  <si>
    <t>7.13x</t>
  </si>
  <si>
    <t>4.27x</t>
  </si>
  <si>
    <t>6.95x</t>
  </si>
  <si>
    <t>9.86x</t>
  </si>
  <si>
    <t>3.54x</t>
  </si>
  <si>
    <t>6.54x</t>
  </si>
  <si>
    <t>8.84x</t>
  </si>
  <si>
    <t>33.73x</t>
  </si>
  <si>
    <t>35.25x</t>
  </si>
  <si>
    <t>36.61x</t>
  </si>
  <si>
    <t>KDP</t>
  </si>
  <si>
    <t>42.94B</t>
  </si>
  <si>
    <t>25.00x</t>
  </si>
  <si>
    <t>21.71x</t>
  </si>
  <si>
    <t>17.40x</t>
  </si>
  <si>
    <t>15.86x</t>
  </si>
  <si>
    <t>`3.89x</t>
  </si>
  <si>
    <t>4.90x</t>
  </si>
  <si>
    <t>5.09x</t>
  </si>
  <si>
    <t>28.53x</t>
  </si>
  <si>
    <t>Keurig Dr Pepper Inc</t>
  </si>
  <si>
    <t>Median</t>
  </si>
  <si>
    <t>24.94x</t>
  </si>
  <si>
    <t>23.10x</t>
  </si>
  <si>
    <t>17.68x</t>
  </si>
  <si>
    <t>16.45x</t>
  </si>
  <si>
    <t>4.30x</t>
  </si>
  <si>
    <t>5.81x</t>
  </si>
  <si>
    <t>34.49x</t>
  </si>
  <si>
    <t>Changes in NWC</t>
  </si>
  <si>
    <t>NWC</t>
  </si>
  <si>
    <t>% Debt</t>
  </si>
  <si>
    <t>Check</t>
  </si>
  <si>
    <t>Fiscal Year</t>
  </si>
  <si>
    <t>(-) Changes in NWC</t>
  </si>
  <si>
    <t>(-) Capex</t>
  </si>
  <si>
    <t>Starbucks Corporation</t>
  </si>
  <si>
    <t>Current Price</t>
  </si>
  <si>
    <t>NYSE: SBUX</t>
  </si>
  <si>
    <t>Other long term liabilities</t>
  </si>
  <si>
    <t>Other long term assets</t>
  </si>
  <si>
    <t>Short term investments</t>
  </si>
  <si>
    <t>Current portion of long term liabilities</t>
  </si>
  <si>
    <t>Interest income</t>
  </si>
  <si>
    <t>changes in other assets</t>
  </si>
  <si>
    <t>changes in current assets</t>
  </si>
  <si>
    <t>changes in current liabilities</t>
  </si>
  <si>
    <t>changes in other liabilities</t>
  </si>
  <si>
    <t>changes in retained earnings</t>
  </si>
  <si>
    <t>Exit Multiple</t>
  </si>
  <si>
    <t>Operating Income (EBIT)</t>
  </si>
  <si>
    <t>Perpetuity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</si>
</sst>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7" formatCode="&quot;$&quot;#,##0.00_);\(&quot;$&quot;#,##0.00\)"/>
    <numFmt numFmtId="43" formatCode="_(* #,##0.00_);_(* \(#,##0.00\);_(* &quot;-&quot;??_);_(@_)"/>
    <numFmt numFmtId="164" formatCode="_(0_);_(\(0\);_(&quot;-&quot;_);@_)"/>
    <numFmt numFmtId="165" formatCode="_(\$* #,##0.0_);_(\$* \(#,##0.0\);_(\$* &quot;-&quot;_);_(@_)"/>
    <numFmt numFmtId="166" formatCode="_(#,##0.0_);_(\(#,##0.0\);_(&quot;-&quot;_);_(@_)"/>
    <numFmt numFmtId="167" formatCode="_(#,##0_);_(\(#,##0\);_(&quot;-&quot;_);_(@_)"/>
    <numFmt numFmtId="168" formatCode="0.0%"/>
    <numFmt numFmtId="169" formatCode="#,##0.0_);\(#,##0.0\)"/>
    <numFmt numFmtId="170" formatCode="0.0"/>
    <numFmt numFmtId="171" formatCode="0_);\(0\)"/>
    <numFmt numFmtId="172" formatCode="&quot;$&quot;#,##0.0_);\(&quot;$&quot;#,##0.0\)"/>
    <numFmt numFmtId="173" formatCode="0.00_);\(0.00\)"/>
    <numFmt numFmtId="174" formatCode="&quot;$&quot;#,##0.0"/>
    <numFmt numFmtId="175" formatCode="_(* #,##0_);_(* \(#,##0\);_(* &quot;-&quot;??_);_(@_)"/>
    <numFmt numFmtId="176" formatCode="0.0_);\(0.0\)"/>
    <numFmt numFmtId="177" formatCode="_(* #,##0.0_);_(* \(#,##0.0\);_(* &quot;-&quot;?_);_(@_)"/>
  </numFmts>
  <fonts count="29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u/>
      <sz val="11"/>
      <color rgb="FF0000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i/>
      <sz val="11"/>
      <color theme="1"/>
      <name val="Calibri"/>
      <family val="2"/>
      <scheme val="minor"/>
    </font>
    <font>
      <i/>
      <sz val="1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Book Antiqua"/>
      <family val="1"/>
    </font>
    <font>
      <b/>
      <sz val="11"/>
      <name val="Book Antiqua"/>
      <family val="1"/>
    </font>
    <font>
      <sz val="11"/>
      <color theme="1"/>
      <name val="Book Antiqua"/>
      <family val="1"/>
    </font>
    <font>
      <sz val="11"/>
      <name val="Book Antiqua"/>
      <family val="1"/>
    </font>
    <font>
      <i/>
      <sz val="11"/>
      <color theme="1"/>
      <name val="Book Antiqua"/>
      <family val="1"/>
    </font>
    <font>
      <i/>
      <sz val="11"/>
      <name val="Book Antiqua"/>
      <family val="1"/>
    </font>
    <font>
      <b/>
      <sz val="11"/>
      <color theme="1"/>
      <name val="Book Antiqua"/>
      <family val="1"/>
    </font>
    <font>
      <i/>
      <sz val="11"/>
      <color rgb="FF0000FF"/>
      <name val="Book Antiqua"/>
      <family val="1"/>
    </font>
    <font>
      <sz val="11"/>
      <color rgb="FF0000FF"/>
      <name val="Book Antiqua"/>
      <family val="1"/>
    </font>
    <font>
      <b/>
      <i/>
      <sz val="11"/>
      <name val="Book Antiqua"/>
      <family val="1"/>
    </font>
    <font>
      <sz val="11"/>
      <color rgb="FFFF0000"/>
      <name val="Book Antiqua"/>
      <family val="1"/>
    </font>
    <font>
      <b/>
      <sz val="11"/>
      <color rgb="FFFF0000"/>
      <name val="Book Antiqua"/>
      <family val="1"/>
    </font>
    <font>
      <i/>
      <sz val="11"/>
      <name val="Calibri"/>
      <family val="2"/>
      <scheme val="minor"/>
    </font>
    <font>
      <u/>
      <sz val="11"/>
      <color theme="1"/>
      <name val="Book Antiqua"/>
      <family val="1"/>
    </font>
    <font>
      <b/>
      <sz val="16"/>
      <color theme="1"/>
      <name val="Book Antiqua"/>
      <family val="1"/>
    </font>
    <font>
      <sz val="16"/>
      <color theme="1"/>
      <name val="Book Antiqua"/>
      <family val="1"/>
    </font>
    <font>
      <sz val="16"/>
      <color theme="1"/>
      <name val="Calibri"/>
      <family val="2"/>
      <scheme val="minor"/>
    </font>
    <font>
      <sz val="11"/>
      <color theme="0"/>
      <name val="Book Antiqua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220">
    <xf numFmtId="0" fontId="0" fillId="0" borderId="0" xfId="0"/>
    <xf numFmtId="166" fontId="4" fillId="0" borderId="0" xfId="0" applyNumberFormat="1" applyFont="1"/>
    <xf numFmtId="0" fontId="3" fillId="0" borderId="0" xfId="0" applyFont="1"/>
    <xf numFmtId="0" fontId="6" fillId="0" borderId="0" xfId="0" applyFont="1" applyAlignment="1">
      <alignment horizontal="left" indent="1"/>
    </xf>
    <xf numFmtId="168" fontId="7" fillId="0" borderId="0" xfId="0" applyNumberFormat="1" applyFont="1"/>
    <xf numFmtId="0" fontId="6" fillId="0" borderId="0" xfId="0" applyFont="1"/>
    <xf numFmtId="166" fontId="7" fillId="0" borderId="0" xfId="0" applyNumberFormat="1" applyFont="1"/>
    <xf numFmtId="168" fontId="6" fillId="0" borderId="0" xfId="0" applyNumberFormat="1" applyFont="1"/>
    <xf numFmtId="169" fontId="3" fillId="0" borderId="0" xfId="0" applyNumberFormat="1" applyFont="1"/>
    <xf numFmtId="165" fontId="4" fillId="0" borderId="0" xfId="0" applyNumberFormat="1" applyFont="1"/>
    <xf numFmtId="0" fontId="2" fillId="0" borderId="0" xfId="0" applyFont="1"/>
    <xf numFmtId="164" fontId="1" fillId="0" borderId="0" xfId="0" applyNumberFormat="1" applyFont="1" applyAlignment="1">
      <alignment horizontal="right"/>
    </xf>
    <xf numFmtId="165" fontId="1" fillId="0" borderId="0" xfId="0" applyNumberFormat="1" applyFont="1"/>
    <xf numFmtId="166" fontId="1" fillId="0" borderId="0" xfId="0" applyNumberFormat="1" applyFont="1"/>
    <xf numFmtId="164" fontId="5" fillId="0" borderId="0" xfId="0" applyNumberFormat="1" applyFont="1" applyAlignment="1">
      <alignment horizontal="right"/>
    </xf>
    <xf numFmtId="165" fontId="5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/>
    <xf numFmtId="0" fontId="0" fillId="0" borderId="0" xfId="0" applyAlignment="1">
      <alignment horizontal="left"/>
    </xf>
    <xf numFmtId="165" fontId="7" fillId="0" borderId="0" xfId="0" applyNumberFormat="1" applyFont="1" applyAlignment="1">
      <alignment horizontal="left" indent="1"/>
    </xf>
    <xf numFmtId="171" fontId="5" fillId="0" borderId="0" xfId="0" applyNumberFormat="1" applyFont="1"/>
    <xf numFmtId="171" fontId="7" fillId="0" borderId="0" xfId="0" applyNumberFormat="1" applyFont="1"/>
    <xf numFmtId="171" fontId="0" fillId="0" borderId="0" xfId="0" applyNumberFormat="1"/>
    <xf numFmtId="0" fontId="3" fillId="0" borderId="0" xfId="0" applyFont="1" applyAlignment="1">
      <alignment horizontal="left"/>
    </xf>
    <xf numFmtId="172" fontId="0" fillId="0" borderId="0" xfId="0" applyNumberFormat="1"/>
    <xf numFmtId="174" fontId="0" fillId="0" borderId="0" xfId="0" applyNumberFormat="1"/>
    <xf numFmtId="173" fontId="0" fillId="0" borderId="0" xfId="0" applyNumberFormat="1"/>
    <xf numFmtId="10" fontId="6" fillId="0" borderId="0" xfId="0" applyNumberFormat="1" applyFont="1"/>
    <xf numFmtId="10" fontId="0" fillId="0" borderId="0" xfId="0" applyNumberFormat="1"/>
    <xf numFmtId="37" fontId="0" fillId="0" borderId="0" xfId="0" applyNumberFormat="1"/>
    <xf numFmtId="172" fontId="3" fillId="0" borderId="0" xfId="0" applyNumberFormat="1" applyFont="1"/>
    <xf numFmtId="169" fontId="0" fillId="0" borderId="0" xfId="0" applyNumberFormat="1"/>
    <xf numFmtId="0" fontId="9" fillId="0" borderId="0" xfId="0" applyFont="1"/>
    <xf numFmtId="166" fontId="4" fillId="5" borderId="0" xfId="0" applyNumberFormat="1" applyFont="1" applyFill="1"/>
    <xf numFmtId="0" fontId="3" fillId="5" borderId="0" xfId="0" applyFont="1" applyFill="1"/>
    <xf numFmtId="164" fontId="5" fillId="5" borderId="0" xfId="0" applyNumberFormat="1" applyFont="1" applyFill="1" applyAlignment="1">
      <alignment horizontal="right"/>
    </xf>
    <xf numFmtId="164" fontId="5" fillId="6" borderId="0" xfId="0" applyNumberFormat="1" applyFont="1" applyFill="1" applyAlignment="1">
      <alignment horizontal="right"/>
    </xf>
    <xf numFmtId="0" fontId="3" fillId="6" borderId="0" xfId="0" applyFont="1" applyFill="1"/>
    <xf numFmtId="0" fontId="0" fillId="5" borderId="0" xfId="0" applyFill="1"/>
    <xf numFmtId="0" fontId="0" fillId="6" borderId="0" xfId="0" applyFill="1"/>
    <xf numFmtId="0" fontId="10" fillId="4" borderId="0" xfId="0" applyFont="1" applyFill="1"/>
    <xf numFmtId="172" fontId="3" fillId="5" borderId="0" xfId="0" applyNumberFormat="1" applyFont="1" applyFill="1"/>
    <xf numFmtId="0" fontId="11" fillId="4" borderId="0" xfId="0" applyFont="1" applyFill="1" applyAlignment="1">
      <alignment horizontal="left"/>
    </xf>
    <xf numFmtId="164" fontId="11" fillId="4" borderId="0" xfId="0" applyNumberFormat="1" applyFont="1" applyFill="1" applyAlignment="1">
      <alignment horizontal="right"/>
    </xf>
    <xf numFmtId="164" fontId="12" fillId="2" borderId="0" xfId="0" applyNumberFormat="1" applyFont="1" applyFill="1" applyAlignment="1">
      <alignment horizontal="right"/>
    </xf>
    <xf numFmtId="0" fontId="13" fillId="0" borderId="0" xfId="0" applyFont="1" applyAlignment="1">
      <alignment horizontal="left"/>
    </xf>
    <xf numFmtId="164" fontId="14" fillId="0" borderId="0" xfId="0" applyNumberFormat="1" applyFont="1" applyAlignment="1">
      <alignment horizontal="right"/>
    </xf>
    <xf numFmtId="0" fontId="13" fillId="0" borderId="0" xfId="0" applyFont="1" applyAlignment="1">
      <alignment horizontal="left" indent="1"/>
    </xf>
    <xf numFmtId="165" fontId="14" fillId="0" borderId="0" xfId="0" applyNumberFormat="1" applyFont="1"/>
    <xf numFmtId="0" fontId="15" fillId="0" borderId="0" xfId="0" applyFont="1" applyAlignment="1">
      <alignment horizontal="left" indent="1"/>
    </xf>
    <xf numFmtId="168" fontId="16" fillId="0" borderId="0" xfId="0" applyNumberFormat="1" applyFont="1"/>
    <xf numFmtId="166" fontId="14" fillId="0" borderId="0" xfId="0" applyNumberFormat="1" applyFont="1"/>
    <xf numFmtId="166" fontId="16" fillId="0" borderId="0" xfId="0" applyNumberFormat="1" applyFont="1"/>
    <xf numFmtId="0" fontId="17" fillId="0" borderId="0" xfId="0" applyFont="1" applyAlignment="1">
      <alignment horizontal="left"/>
    </xf>
    <xf numFmtId="166" fontId="12" fillId="0" borderId="0" xfId="0" applyNumberFormat="1" applyFont="1"/>
    <xf numFmtId="165" fontId="12" fillId="0" borderId="0" xfId="0" applyNumberFormat="1" applyFont="1"/>
    <xf numFmtId="0" fontId="15" fillId="0" borderId="0" xfId="0" applyFont="1" applyAlignment="1">
      <alignment horizontal="left"/>
    </xf>
    <xf numFmtId="168" fontId="15" fillId="0" borderId="0" xfId="0" applyNumberFormat="1" applyFont="1" applyAlignment="1">
      <alignment horizontal="left" indent="1"/>
    </xf>
    <xf numFmtId="168" fontId="18" fillId="0" borderId="0" xfId="0" applyNumberFormat="1" applyFont="1"/>
    <xf numFmtId="167" fontId="14" fillId="0" borderId="0" xfId="0" applyNumberFormat="1" applyFont="1"/>
    <xf numFmtId="166" fontId="19" fillId="0" borderId="0" xfId="0" applyNumberFormat="1" applyFont="1"/>
    <xf numFmtId="167" fontId="12" fillId="0" borderId="0" xfId="0" applyNumberFormat="1" applyFont="1"/>
    <xf numFmtId="168" fontId="15" fillId="0" borderId="0" xfId="0" applyNumberFormat="1" applyFont="1"/>
    <xf numFmtId="0" fontId="13" fillId="0" borderId="0" xfId="0" applyFont="1"/>
    <xf numFmtId="169" fontId="17" fillId="0" borderId="0" xfId="0" applyNumberFormat="1" applyFont="1"/>
    <xf numFmtId="0" fontId="15" fillId="0" borderId="0" xfId="0" applyFont="1"/>
    <xf numFmtId="0" fontId="12" fillId="0" borderId="0" xfId="0" applyFont="1" applyAlignment="1">
      <alignment horizontal="left"/>
    </xf>
    <xf numFmtId="0" fontId="15" fillId="0" borderId="0" xfId="0" applyFont="1" applyAlignment="1">
      <alignment horizontal="left" indent="2"/>
    </xf>
    <xf numFmtId="0" fontId="17" fillId="5" borderId="0" xfId="0" applyFont="1" applyFill="1" applyAlignment="1">
      <alignment horizontal="left"/>
    </xf>
    <xf numFmtId="166" fontId="12" fillId="5" borderId="0" xfId="0" applyNumberFormat="1" applyFont="1" applyFill="1"/>
    <xf numFmtId="0" fontId="17" fillId="6" borderId="0" xfId="0" applyFont="1" applyFill="1" applyAlignment="1">
      <alignment horizontal="left"/>
    </xf>
    <xf numFmtId="165" fontId="12" fillId="6" borderId="0" xfId="0" applyNumberFormat="1" applyFont="1" applyFill="1"/>
    <xf numFmtId="165" fontId="14" fillId="0" borderId="0" xfId="0" applyNumberFormat="1" applyFont="1" applyAlignment="1">
      <alignment horizontal="left" indent="1"/>
    </xf>
    <xf numFmtId="170" fontId="14" fillId="0" borderId="0" xfId="0" applyNumberFormat="1" applyFont="1" applyAlignment="1">
      <alignment horizontal="right" indent="1"/>
    </xf>
    <xf numFmtId="169" fontId="19" fillId="0" borderId="0" xfId="0" applyNumberFormat="1" applyFont="1" applyAlignment="1">
      <alignment horizontal="right"/>
    </xf>
    <xf numFmtId="0" fontId="13" fillId="0" borderId="0" xfId="0" applyFont="1" applyAlignment="1">
      <alignment horizontal="left" indent="2"/>
    </xf>
    <xf numFmtId="166" fontId="12" fillId="6" borderId="0" xfId="0" applyNumberFormat="1" applyFont="1" applyFill="1"/>
    <xf numFmtId="0" fontId="13" fillId="5" borderId="0" xfId="0" applyFont="1" applyFill="1" applyAlignment="1">
      <alignment horizontal="left"/>
    </xf>
    <xf numFmtId="164" fontId="14" fillId="5" borderId="0" xfId="0" applyNumberFormat="1" applyFont="1" applyFill="1" applyAlignment="1">
      <alignment horizontal="right"/>
    </xf>
    <xf numFmtId="0" fontId="13" fillId="0" borderId="0" xfId="0" applyFont="1" applyAlignment="1">
      <alignment horizontal="left" indent="3"/>
    </xf>
    <xf numFmtId="0" fontId="13" fillId="5" borderId="0" xfId="0" applyFont="1" applyFill="1" applyAlignment="1">
      <alignment horizontal="left" indent="1"/>
    </xf>
    <xf numFmtId="0" fontId="13" fillId="6" borderId="0" xfId="0" applyFont="1" applyFill="1" applyAlignment="1">
      <alignment horizontal="left"/>
    </xf>
    <xf numFmtId="164" fontId="14" fillId="6" borderId="0" xfId="0" applyNumberFormat="1" applyFont="1" applyFill="1" applyAlignment="1">
      <alignment horizontal="right"/>
    </xf>
    <xf numFmtId="0" fontId="11" fillId="4" borderId="0" xfId="0" applyFont="1" applyFill="1" applyAlignment="1">
      <alignment horizontal="right"/>
    </xf>
    <xf numFmtId="172" fontId="13" fillId="0" borderId="0" xfId="0" applyNumberFormat="1" applyFont="1"/>
    <xf numFmtId="10" fontId="13" fillId="0" borderId="0" xfId="0" applyNumberFormat="1" applyFont="1"/>
    <xf numFmtId="169" fontId="17" fillId="0" borderId="0" xfId="0" applyNumberFormat="1" applyFont="1" applyAlignment="1">
      <alignment horizontal="left"/>
    </xf>
    <xf numFmtId="169" fontId="12" fillId="0" borderId="0" xfId="0" applyNumberFormat="1" applyFont="1"/>
    <xf numFmtId="10" fontId="15" fillId="0" borderId="0" xfId="0" applyNumberFormat="1" applyFont="1" applyAlignment="1">
      <alignment horizontal="left"/>
    </xf>
    <xf numFmtId="10" fontId="16" fillId="0" borderId="0" xfId="0" applyNumberFormat="1" applyFont="1"/>
    <xf numFmtId="166" fontId="20" fillId="6" borderId="0" xfId="0" applyNumberFormat="1" applyFont="1" applyFill="1"/>
    <xf numFmtId="168" fontId="20" fillId="6" borderId="0" xfId="0" applyNumberFormat="1" applyFont="1" applyFill="1"/>
    <xf numFmtId="0" fontId="17" fillId="6" borderId="0" xfId="0" applyFont="1" applyFill="1"/>
    <xf numFmtId="175" fontId="14" fillId="0" borderId="0" xfId="1" applyNumberFormat="1" applyFont="1"/>
    <xf numFmtId="175" fontId="16" fillId="0" borderId="0" xfId="1" applyNumberFormat="1" applyFont="1"/>
    <xf numFmtId="175" fontId="13" fillId="0" borderId="0" xfId="1" applyNumberFormat="1" applyFont="1"/>
    <xf numFmtId="175" fontId="19" fillId="0" borderId="0" xfId="1" applyNumberFormat="1" applyFont="1"/>
    <xf numFmtId="171" fontId="14" fillId="0" borderId="0" xfId="0" applyNumberFormat="1" applyFont="1"/>
    <xf numFmtId="171" fontId="16" fillId="0" borderId="0" xfId="0" applyNumberFormat="1" applyFont="1"/>
    <xf numFmtId="171" fontId="13" fillId="0" borderId="0" xfId="0" applyNumberFormat="1" applyFont="1"/>
    <xf numFmtId="171" fontId="14" fillId="6" borderId="0" xfId="0" applyNumberFormat="1" applyFont="1" applyFill="1"/>
    <xf numFmtId="171" fontId="16" fillId="6" borderId="0" xfId="0" applyNumberFormat="1" applyFont="1" applyFill="1"/>
    <xf numFmtId="171" fontId="13" fillId="6" borderId="0" xfId="0" applyNumberFormat="1" applyFont="1" applyFill="1"/>
    <xf numFmtId="0" fontId="13" fillId="6" borderId="0" xfId="0" applyFont="1" applyFill="1"/>
    <xf numFmtId="37" fontId="14" fillId="0" borderId="0" xfId="0" applyNumberFormat="1" applyFont="1"/>
    <xf numFmtId="37" fontId="13" fillId="0" borderId="0" xfId="0" applyNumberFormat="1" applyFont="1"/>
    <xf numFmtId="37" fontId="16" fillId="0" borderId="0" xfId="0" applyNumberFormat="1" applyFont="1"/>
    <xf numFmtId="172" fontId="13" fillId="0" borderId="0" xfId="0" applyNumberFormat="1" applyFont="1" applyAlignment="1">
      <alignment horizontal="left" indent="1"/>
    </xf>
    <xf numFmtId="172" fontId="14" fillId="0" borderId="0" xfId="0" applyNumberFormat="1" applyFont="1"/>
    <xf numFmtId="173" fontId="14" fillId="0" borderId="0" xfId="0" applyNumberFormat="1" applyFont="1"/>
    <xf numFmtId="10" fontId="15" fillId="0" borderId="0" xfId="0" applyNumberFormat="1" applyFont="1" applyAlignment="1">
      <alignment horizontal="left" indent="1"/>
    </xf>
    <xf numFmtId="10" fontId="18" fillId="0" borderId="0" xfId="0" applyNumberFormat="1" applyFont="1"/>
    <xf numFmtId="174" fontId="13" fillId="0" borderId="0" xfId="0" applyNumberFormat="1" applyFont="1" applyAlignment="1">
      <alignment horizontal="left" indent="1"/>
    </xf>
    <xf numFmtId="174" fontId="14" fillId="0" borderId="0" xfId="0" applyNumberFormat="1" applyFont="1"/>
    <xf numFmtId="174" fontId="13" fillId="0" borderId="0" xfId="0" applyNumberFormat="1" applyFont="1"/>
    <xf numFmtId="173" fontId="13" fillId="0" borderId="0" xfId="0" applyNumberFormat="1" applyFont="1" applyAlignment="1">
      <alignment horizontal="left" indent="1"/>
    </xf>
    <xf numFmtId="171" fontId="12" fillId="6" borderId="0" xfId="0" applyNumberFormat="1" applyFont="1" applyFill="1"/>
    <xf numFmtId="171" fontId="20" fillId="6" borderId="0" xfId="0" applyNumberFormat="1" applyFont="1" applyFill="1"/>
    <xf numFmtId="171" fontId="17" fillId="6" borderId="0" xfId="0" applyNumberFormat="1" applyFont="1" applyFill="1"/>
    <xf numFmtId="37" fontId="13" fillId="0" borderId="0" xfId="0" applyNumberFormat="1" applyFont="1" applyAlignment="1">
      <alignment horizontal="left" indent="1"/>
    </xf>
    <xf numFmtId="172" fontId="17" fillId="0" borderId="0" xfId="0" applyNumberFormat="1" applyFont="1" applyAlignment="1">
      <alignment horizontal="left" indent="1"/>
    </xf>
    <xf numFmtId="172" fontId="12" fillId="0" borderId="0" xfId="0" applyNumberFormat="1" applyFont="1"/>
    <xf numFmtId="172" fontId="17" fillId="0" borderId="0" xfId="0" applyNumberFormat="1" applyFont="1" applyAlignment="1">
      <alignment horizontal="left"/>
    </xf>
    <xf numFmtId="10" fontId="15" fillId="0" borderId="0" xfId="0" applyNumberFormat="1" applyFont="1"/>
    <xf numFmtId="172" fontId="17" fillId="5" borderId="0" xfId="0" applyNumberFormat="1" applyFont="1" applyFill="1" applyAlignment="1">
      <alignment horizontal="left"/>
    </xf>
    <xf numFmtId="172" fontId="12" fillId="5" borderId="0" xfId="0" applyNumberFormat="1" applyFont="1" applyFill="1"/>
    <xf numFmtId="0" fontId="11" fillId="4" borderId="17" xfId="0" applyFont="1" applyFill="1" applyBorder="1"/>
    <xf numFmtId="0" fontId="11" fillId="4" borderId="15" xfId="0" applyFont="1" applyFill="1" applyBorder="1"/>
    <xf numFmtId="0" fontId="11" fillId="4" borderId="16" xfId="0" applyFont="1" applyFill="1" applyBorder="1"/>
    <xf numFmtId="0" fontId="14" fillId="0" borderId="18" xfId="0" applyFont="1" applyBorder="1"/>
    <xf numFmtId="0" fontId="14" fillId="0" borderId="0" xfId="0" applyFont="1"/>
    <xf numFmtId="0" fontId="13" fillId="0" borderId="7" xfId="0" applyFont="1" applyBorder="1"/>
    <xf numFmtId="10" fontId="13" fillId="0" borderId="8" xfId="0" applyNumberFormat="1" applyFont="1" applyBorder="1"/>
    <xf numFmtId="0" fontId="13" fillId="0" borderId="18" xfId="0" applyFont="1" applyBorder="1"/>
    <xf numFmtId="176" fontId="13" fillId="0" borderId="0" xfId="0" applyNumberFormat="1" applyFont="1"/>
    <xf numFmtId="176" fontId="13" fillId="0" borderId="8" xfId="0" applyNumberFormat="1" applyFont="1" applyBorder="1"/>
    <xf numFmtId="173" fontId="13" fillId="0" borderId="8" xfId="0" applyNumberFormat="1" applyFont="1" applyBorder="1"/>
    <xf numFmtId="0" fontId="13" fillId="0" borderId="10" xfId="0" applyFont="1" applyBorder="1"/>
    <xf numFmtId="10" fontId="19" fillId="0" borderId="13" xfId="0" applyNumberFormat="1" applyFont="1" applyBorder="1"/>
    <xf numFmtId="0" fontId="13" fillId="0" borderId="19" xfId="0" applyFont="1" applyBorder="1"/>
    <xf numFmtId="176" fontId="13" fillId="0" borderId="12" xfId="0" applyNumberFormat="1" applyFont="1" applyBorder="1"/>
    <xf numFmtId="176" fontId="13" fillId="0" borderId="13" xfId="0" applyNumberFormat="1" applyFont="1" applyBorder="1"/>
    <xf numFmtId="0" fontId="13" fillId="0" borderId="7" xfId="0" applyFont="1" applyBorder="1" applyAlignment="1">
      <alignment horizontal="left"/>
    </xf>
    <xf numFmtId="10" fontId="13" fillId="0" borderId="13" xfId="0" applyNumberFormat="1" applyFont="1" applyBorder="1"/>
    <xf numFmtId="168" fontId="19" fillId="0" borderId="8" xfId="0" applyNumberFormat="1" applyFont="1" applyBorder="1"/>
    <xf numFmtId="170" fontId="13" fillId="0" borderId="8" xfId="0" applyNumberFormat="1" applyFont="1" applyBorder="1"/>
    <xf numFmtId="7" fontId="13" fillId="0" borderId="8" xfId="0" applyNumberFormat="1" applyFont="1" applyBorder="1"/>
    <xf numFmtId="168" fontId="21" fillId="0" borderId="13" xfId="0" applyNumberFormat="1" applyFont="1" applyBorder="1"/>
    <xf numFmtId="10" fontId="22" fillId="0" borderId="1" xfId="0" applyNumberFormat="1" applyFont="1" applyBorder="1"/>
    <xf numFmtId="10" fontId="13" fillId="0" borderId="0" xfId="0" quotePrefix="1" applyNumberFormat="1" applyFont="1"/>
    <xf numFmtId="10" fontId="13" fillId="0" borderId="12" xfId="0" applyNumberFormat="1" applyFont="1" applyBorder="1"/>
    <xf numFmtId="169" fontId="13" fillId="0" borderId="0" xfId="0" applyNumberFormat="1" applyFont="1" applyAlignment="1">
      <alignment horizontal="left"/>
    </xf>
    <xf numFmtId="169" fontId="14" fillId="0" borderId="0" xfId="0" applyNumberFormat="1" applyFont="1"/>
    <xf numFmtId="10" fontId="14" fillId="0" borderId="0" xfId="0" applyNumberFormat="1" applyFont="1"/>
    <xf numFmtId="10" fontId="19" fillId="0" borderId="0" xfId="0" applyNumberFormat="1" applyFont="1"/>
    <xf numFmtId="7" fontId="13" fillId="0" borderId="0" xfId="0" applyNumberFormat="1" applyFont="1"/>
    <xf numFmtId="0" fontId="17" fillId="0" borderId="0" xfId="0" applyFont="1"/>
    <xf numFmtId="164" fontId="4" fillId="0" borderId="0" xfId="0" applyNumberFormat="1" applyFont="1" applyAlignment="1">
      <alignment horizontal="right"/>
    </xf>
    <xf numFmtId="172" fontId="14" fillId="0" borderId="0" xfId="0" applyNumberFormat="1" applyFont="1" applyAlignment="1">
      <alignment horizontal="right"/>
    </xf>
    <xf numFmtId="172" fontId="14" fillId="0" borderId="8" xfId="0" applyNumberFormat="1" applyFont="1" applyBorder="1" applyAlignment="1">
      <alignment horizontal="right"/>
    </xf>
    <xf numFmtId="174" fontId="13" fillId="0" borderId="8" xfId="0" applyNumberFormat="1" applyFont="1" applyBorder="1"/>
    <xf numFmtId="2" fontId="13" fillId="0" borderId="8" xfId="0" applyNumberFormat="1" applyFont="1" applyBorder="1"/>
    <xf numFmtId="43" fontId="0" fillId="0" borderId="0" xfId="0" applyNumberFormat="1"/>
    <xf numFmtId="0" fontId="14" fillId="0" borderId="0" xfId="0" applyFont="1" applyAlignment="1">
      <alignment horizontal="left" indent="1"/>
    </xf>
    <xf numFmtId="0" fontId="16" fillId="0" borderId="0" xfId="0" applyFont="1" applyAlignment="1">
      <alignment horizontal="left" indent="2"/>
    </xf>
    <xf numFmtId="168" fontId="14" fillId="0" borderId="0" xfId="0" applyNumberFormat="1" applyFont="1"/>
    <xf numFmtId="0" fontId="13" fillId="2" borderId="0" xfId="0" applyFont="1" applyFill="1"/>
    <xf numFmtId="177" fontId="13" fillId="2" borderId="0" xfId="0" applyNumberFormat="1" applyFont="1" applyFill="1" applyAlignment="1">
      <alignment horizontal="left"/>
    </xf>
    <xf numFmtId="0" fontId="0" fillId="2" borderId="0" xfId="0" applyFill="1"/>
    <xf numFmtId="39" fontId="0" fillId="0" borderId="0" xfId="0" applyNumberFormat="1"/>
    <xf numFmtId="43" fontId="13" fillId="2" borderId="0" xfId="0" applyNumberFormat="1" applyFont="1" applyFill="1" applyAlignment="1">
      <alignment horizontal="left"/>
    </xf>
    <xf numFmtId="0" fontId="11" fillId="4" borderId="4" xfId="0" applyFont="1" applyFill="1" applyBorder="1" applyAlignment="1">
      <alignment horizontal="left"/>
    </xf>
    <xf numFmtId="0" fontId="11" fillId="4" borderId="5" xfId="0" applyFont="1" applyFill="1" applyBorder="1" applyAlignment="1">
      <alignment horizontal="left"/>
    </xf>
    <xf numFmtId="0" fontId="11" fillId="4" borderId="6" xfId="0" applyFont="1" applyFill="1" applyBorder="1" applyAlignment="1">
      <alignment horizontal="left"/>
    </xf>
    <xf numFmtId="0" fontId="13" fillId="0" borderId="0" xfId="0" applyFont="1" applyAlignment="1">
      <alignment horizontal="right"/>
    </xf>
    <xf numFmtId="0" fontId="13" fillId="0" borderId="8" xfId="0" applyFont="1" applyBorder="1" applyAlignment="1">
      <alignment horizontal="right"/>
    </xf>
    <xf numFmtId="0" fontId="13" fillId="0" borderId="10" xfId="0" applyFont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13" fillId="0" borderId="12" xfId="0" applyFont="1" applyBorder="1" applyAlignment="1">
      <alignment horizontal="right"/>
    </xf>
    <xf numFmtId="0" fontId="13" fillId="0" borderId="13" xfId="0" applyFont="1" applyBorder="1" applyAlignment="1">
      <alignment horizontal="right"/>
    </xf>
    <xf numFmtId="0" fontId="13" fillId="0" borderId="20" xfId="0" applyFont="1" applyBorder="1" applyAlignment="1">
      <alignment horizontal="left"/>
    </xf>
    <xf numFmtId="0" fontId="13" fillId="0" borderId="21" xfId="0" applyFont="1" applyBorder="1" applyAlignment="1">
      <alignment horizontal="left"/>
    </xf>
    <xf numFmtId="0" fontId="13" fillId="0" borderId="21" xfId="0" applyFont="1" applyBorder="1" applyAlignment="1">
      <alignment horizontal="right"/>
    </xf>
    <xf numFmtId="0" fontId="13" fillId="0" borderId="22" xfId="0" applyFont="1" applyBorder="1" applyAlignment="1">
      <alignment horizontal="right"/>
    </xf>
    <xf numFmtId="10" fontId="13" fillId="3" borderId="0" xfId="0" applyNumberFormat="1" applyFont="1" applyFill="1"/>
    <xf numFmtId="10" fontId="13" fillId="3" borderId="8" xfId="0" applyNumberFormat="1" applyFont="1" applyFill="1" applyBorder="1"/>
    <xf numFmtId="10" fontId="13" fillId="3" borderId="12" xfId="0" applyNumberFormat="1" applyFont="1" applyFill="1" applyBorder="1"/>
    <xf numFmtId="10" fontId="17" fillId="6" borderId="3" xfId="0" applyNumberFormat="1" applyFont="1" applyFill="1" applyBorder="1"/>
    <xf numFmtId="10" fontId="17" fillId="6" borderId="11" xfId="0" applyNumberFormat="1" applyFont="1" applyFill="1" applyBorder="1"/>
    <xf numFmtId="10" fontId="17" fillId="6" borderId="2" xfId="0" applyNumberFormat="1" applyFont="1" applyFill="1" applyBorder="1"/>
    <xf numFmtId="10" fontId="17" fillId="6" borderId="9" xfId="0" applyNumberFormat="1" applyFont="1" applyFill="1" applyBorder="1"/>
    <xf numFmtId="0" fontId="24" fillId="0" borderId="0" xfId="0" applyFont="1" applyAlignment="1">
      <alignment horizontal="left"/>
    </xf>
    <xf numFmtId="0" fontId="24" fillId="0" borderId="0" xfId="0" applyFont="1"/>
    <xf numFmtId="176" fontId="24" fillId="0" borderId="0" xfId="0" applyNumberFormat="1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19" fillId="0" borderId="8" xfId="0" applyFont="1" applyBorder="1"/>
    <xf numFmtId="170" fontId="17" fillId="6" borderId="2" xfId="0" applyNumberFormat="1" applyFont="1" applyFill="1" applyBorder="1"/>
    <xf numFmtId="170" fontId="17" fillId="6" borderId="9" xfId="0" applyNumberFormat="1" applyFont="1" applyFill="1" applyBorder="1"/>
    <xf numFmtId="0" fontId="13" fillId="0" borderId="23" xfId="0" applyFont="1" applyBorder="1"/>
    <xf numFmtId="176" fontId="13" fillId="0" borderId="21" xfId="0" applyNumberFormat="1" applyFont="1" applyBorder="1"/>
    <xf numFmtId="176" fontId="13" fillId="0" borderId="22" xfId="0" applyNumberFormat="1" applyFont="1" applyBorder="1"/>
    <xf numFmtId="0" fontId="23" fillId="0" borderId="0" xfId="0" applyFont="1"/>
    <xf numFmtId="0" fontId="28" fillId="4" borderId="0" xfId="0" applyFont="1" applyFill="1" applyAlignment="1">
      <alignment horizontal="left"/>
    </xf>
    <xf numFmtId="0" fontId="17" fillId="0" borderId="18" xfId="0" applyFont="1" applyBorder="1"/>
    <xf numFmtId="176" fontId="17" fillId="0" borderId="0" xfId="0" applyNumberFormat="1" applyFont="1"/>
    <xf numFmtId="176" fontId="17" fillId="0" borderId="8" xfId="0" applyNumberFormat="1" applyFont="1" applyBorder="1"/>
    <xf numFmtId="0" fontId="17" fillId="0" borderId="7" xfId="0" applyFont="1" applyBorder="1"/>
    <xf numFmtId="0" fontId="17" fillId="0" borderId="10" xfId="0" applyFont="1" applyBorder="1"/>
    <xf numFmtId="0" fontId="11" fillId="4" borderId="4" xfId="0" applyFont="1" applyFill="1" applyBorder="1" applyAlignment="1">
      <alignment horizontal="center"/>
    </xf>
    <xf numFmtId="0" fontId="11" fillId="4" borderId="5" xfId="0" applyFont="1" applyFill="1" applyBorder="1" applyAlignment="1">
      <alignment horizontal="center"/>
    </xf>
    <xf numFmtId="0" fontId="11" fillId="4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1" fillId="4" borderId="14" xfId="0" applyFont="1" applyFill="1" applyBorder="1" applyAlignment="1">
      <alignment horizontal="center"/>
    </xf>
    <xf numFmtId="0" fontId="17" fillId="4" borderId="16" xfId="0" applyFont="1" applyFill="1" applyBorder="1" applyAlignment="1">
      <alignment horizontal="center"/>
    </xf>
    <xf numFmtId="0" fontId="11" fillId="4" borderId="16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0080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5</xdr:row>
      <xdr:rowOff>180976</xdr:rowOff>
    </xdr:from>
    <xdr:to>
      <xdr:col>2</xdr:col>
      <xdr:colOff>101601</xdr:colOff>
      <xdr:row>19</xdr:row>
      <xdr:rowOff>51152</xdr:rowOff>
    </xdr:to>
    <xdr:pic>
      <xdr:nvPicPr>
        <xdr:cNvPr id="2" name="Picture 1" descr="Image result for starbucks 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222376"/>
          <a:ext cx="2705100" cy="2537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amsec.com/filing/82922418000052/1?table=135&amp;utm_source=table-download&amp;utm_medium=excel&amp;utm_campaign=tables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showGridLines="0" tabSelected="1" workbookViewId="0">
      <selection activeCell="E12" sqref="E12"/>
    </sheetView>
    <sheetView showGridLines="0" tabSelected="1" workbookViewId="1">
      <selection activeCell="B27" sqref="B27"/>
    </sheetView>
  </sheetViews>
  <sheetFormatPr defaultColWidth="8.77734375" defaultRowHeight="14.4" x14ac:dyDescent="0.3"/>
  <cols>
    <col min="1" max="1" width="20.6640625" bestFit="1" customWidth="1"/>
    <col min="2" max="2" width="13.44140625" bestFit="1" customWidth="1"/>
  </cols>
  <sheetData>
    <row r="1" spans="1:2" s="196" customFormat="1" ht="21" x14ac:dyDescent="0.4">
      <c r="A1" s="194" t="s">
        <v>286</v>
      </c>
      <c r="B1" s="195"/>
    </row>
    <row r="2" spans="1:2" x14ac:dyDescent="0.3">
      <c r="A2" s="156" t="s">
        <v>217</v>
      </c>
      <c r="B2" s="63" t="s">
        <v>288</v>
      </c>
    </row>
    <row r="3" spans="1:2" x14ac:dyDescent="0.3">
      <c r="A3" s="156" t="s">
        <v>287</v>
      </c>
      <c r="B3" s="155">
        <v>85.4</v>
      </c>
    </row>
    <row r="4" spans="1:2" x14ac:dyDescent="0.3">
      <c r="A4" s="156" t="s">
        <v>208</v>
      </c>
      <c r="B4" s="155">
        <f>DCF!G23</f>
        <v>108.07953779514825</v>
      </c>
    </row>
    <row r="5" spans="1:2" x14ac:dyDescent="0.3">
      <c r="A5" s="156" t="s">
        <v>210</v>
      </c>
      <c r="B5" s="85">
        <f>DCF!G25</f>
        <v>0.26556835825700525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49"/>
  <sheetViews>
    <sheetView showGridLines="0" zoomScaleNormal="179" workbookViewId="0">
      <pane xSplit="1" ySplit="1" topLeftCell="C44" activePane="bottomRight" state="frozen"/>
      <selection pane="topRight" activeCell="B1" sqref="B1"/>
      <selection pane="bottomLeft" activeCell="A2" sqref="A2"/>
      <selection pane="bottomRight" activeCell="S35" sqref="S35"/>
    </sheetView>
    <sheetView showGridLines="0" topLeftCell="B9" zoomScale="81" zoomScaleNormal="81" workbookViewId="1">
      <selection activeCell="B28" sqref="B28"/>
    </sheetView>
  </sheetViews>
  <sheetFormatPr defaultColWidth="8.77734375" defaultRowHeight="14.4" outlineLevelCol="1" x14ac:dyDescent="0.3"/>
  <cols>
    <col min="1" max="1" width="50.6640625" customWidth="1"/>
    <col min="2" max="3" width="15.6640625" customWidth="1"/>
    <col min="4" max="4" width="8.77734375" hidden="1" customWidth="1" outlineLevel="1"/>
    <col min="5" max="5" width="9.44140625" hidden="1" customWidth="1" outlineLevel="1"/>
    <col min="6" max="7" width="8.77734375" hidden="1" customWidth="1" outlineLevel="1"/>
    <col min="8" max="8" width="15.6640625" customWidth="1" collapsed="1"/>
    <col min="9" max="9" width="9.44140625" hidden="1" customWidth="1" outlineLevel="1"/>
    <col min="10" max="12" width="8.77734375" hidden="1" customWidth="1" outlineLevel="1"/>
    <col min="13" max="13" width="15.6640625" customWidth="1" collapsed="1"/>
    <col min="14" max="17" width="8.77734375" hidden="1" customWidth="1" outlineLevel="1"/>
    <col min="18" max="18" width="15.6640625" customWidth="1" collapsed="1"/>
    <col min="19" max="25" width="15.6640625" customWidth="1"/>
  </cols>
  <sheetData>
    <row r="1" spans="1:28" x14ac:dyDescent="0.3">
      <c r="A1" s="42" t="s">
        <v>283</v>
      </c>
      <c r="B1" s="43" t="s">
        <v>17</v>
      </c>
      <c r="C1" s="43" t="s">
        <v>18</v>
      </c>
      <c r="D1" s="43" t="s">
        <v>30</v>
      </c>
      <c r="E1" s="43" t="s">
        <v>29</v>
      </c>
      <c r="F1" s="43" t="s">
        <v>31</v>
      </c>
      <c r="G1" s="43" t="s">
        <v>34</v>
      </c>
      <c r="H1" s="43" t="s">
        <v>19</v>
      </c>
      <c r="I1" s="43" t="s">
        <v>28</v>
      </c>
      <c r="J1" s="43" t="s">
        <v>26</v>
      </c>
      <c r="K1" s="43" t="s">
        <v>24</v>
      </c>
      <c r="L1" s="43" t="s">
        <v>32</v>
      </c>
      <c r="M1" s="43" t="s">
        <v>21</v>
      </c>
      <c r="N1" s="43" t="s">
        <v>27</v>
      </c>
      <c r="O1" s="43" t="s">
        <v>25</v>
      </c>
      <c r="P1" s="43" t="s">
        <v>23</v>
      </c>
      <c r="Q1" s="43" t="s">
        <v>33</v>
      </c>
      <c r="R1" s="43" t="s">
        <v>22</v>
      </c>
      <c r="S1" s="44" t="s">
        <v>117</v>
      </c>
      <c r="T1" s="44" t="s">
        <v>118</v>
      </c>
      <c r="U1" s="44" t="s">
        <v>119</v>
      </c>
      <c r="V1" s="44" t="s">
        <v>120</v>
      </c>
      <c r="W1" s="44" t="s">
        <v>121</v>
      </c>
      <c r="X1" s="44" t="s">
        <v>122</v>
      </c>
      <c r="Y1" s="157"/>
      <c r="Z1" s="2"/>
      <c r="AA1" s="2"/>
      <c r="AB1" s="2"/>
    </row>
    <row r="2" spans="1:28" x14ac:dyDescent="0.3">
      <c r="A2" s="45" t="s">
        <v>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14"/>
    </row>
    <row r="3" spans="1:28" x14ac:dyDescent="0.3">
      <c r="A3" s="47" t="s">
        <v>2</v>
      </c>
      <c r="B3" s="48">
        <v>12977.9</v>
      </c>
      <c r="C3" s="48">
        <v>15197.3</v>
      </c>
      <c r="D3" s="48">
        <v>4210.6000000000004</v>
      </c>
      <c r="E3" s="48">
        <v>3944.2</v>
      </c>
      <c r="F3" s="48">
        <v>4181.6000000000004</v>
      </c>
      <c r="G3" s="48">
        <f>H3-SUM(D3:F3)</f>
        <v>4507.6999999999971</v>
      </c>
      <c r="H3" s="48">
        <v>16844.099999999999</v>
      </c>
      <c r="I3" s="48">
        <v>4469.3</v>
      </c>
      <c r="J3" s="48">
        <v>4195.3999999999996</v>
      </c>
      <c r="K3" s="48">
        <v>4509</v>
      </c>
      <c r="L3" s="48">
        <f>M3-SUM(I3:K3)</f>
        <v>4477</v>
      </c>
      <c r="M3" s="48">
        <v>17650.7</v>
      </c>
      <c r="N3" s="48">
        <v>4741.8</v>
      </c>
      <c r="O3" s="48">
        <v>4828</v>
      </c>
      <c r="P3" s="48">
        <v>5060.3999999999996</v>
      </c>
      <c r="Q3" s="48">
        <f>R3-SUM(N3:P3)</f>
        <v>5060.1000000000004</v>
      </c>
      <c r="R3" s="48">
        <v>19690.3</v>
      </c>
      <c r="S3" s="48">
        <f>'Revenue Build'!K3</f>
        <v>21544.400000000001</v>
      </c>
      <c r="T3" s="48">
        <f>'Revenue Build'!P3</f>
        <v>23837.985122138671</v>
      </c>
      <c r="U3" s="48">
        <f>'Revenue Build'!U3</f>
        <v>25935.549294990684</v>
      </c>
      <c r="V3" s="48">
        <f>'Revenue Build'!Z3</f>
        <v>28143.533496240008</v>
      </c>
      <c r="W3" s="48">
        <f>'Revenue Build'!AE3</f>
        <v>30448.303426346949</v>
      </c>
      <c r="X3" s="48">
        <f>'Revenue Build'!AJ3</f>
        <v>32897.49448231353</v>
      </c>
      <c r="Y3" s="15"/>
    </row>
    <row r="4" spans="1:28" s="5" customFormat="1" x14ac:dyDescent="0.3">
      <c r="A4" s="49" t="s">
        <v>35</v>
      </c>
      <c r="B4" s="50"/>
      <c r="C4" s="50">
        <f>C3/B3-1</f>
        <v>0.17101380038372915</v>
      </c>
      <c r="D4" s="50"/>
      <c r="E4" s="50"/>
      <c r="F4" s="50"/>
      <c r="G4" s="50"/>
      <c r="H4" s="50">
        <f t="shared" ref="H4:R4" si="0">H3/C3-1</f>
        <v>0.10836135366150557</v>
      </c>
      <c r="I4" s="50">
        <f t="shared" si="0"/>
        <v>6.1440174796941083E-2</v>
      </c>
      <c r="J4" s="50">
        <f t="shared" si="0"/>
        <v>6.3688453932356337E-2</v>
      </c>
      <c r="K4" s="50">
        <f t="shared" si="0"/>
        <v>7.8295389324660292E-2</v>
      </c>
      <c r="L4" s="50">
        <f t="shared" si="0"/>
        <v>-6.8105685826468365E-3</v>
      </c>
      <c r="M4" s="50">
        <f t="shared" si="0"/>
        <v>4.7886203477775835E-2</v>
      </c>
      <c r="N4" s="50">
        <f t="shared" si="0"/>
        <v>6.0971516792338809E-2</v>
      </c>
      <c r="O4" s="50">
        <f t="shared" si="0"/>
        <v>0.15078419221051642</v>
      </c>
      <c r="P4" s="50">
        <f t="shared" si="0"/>
        <v>0.12228875582168985</v>
      </c>
      <c r="Q4" s="50">
        <f t="shared" si="0"/>
        <v>0.13024346660710306</v>
      </c>
      <c r="R4" s="50">
        <f t="shared" si="0"/>
        <v>0.11555349079639887</v>
      </c>
      <c r="S4" s="50">
        <f t="shared" ref="S4:X4" si="1">S3/R3-1</f>
        <v>9.4163115848920675E-2</v>
      </c>
      <c r="T4" s="50">
        <f t="shared" si="1"/>
        <v>0.10645852853357107</v>
      </c>
      <c r="U4" s="50">
        <f t="shared" si="1"/>
        <v>8.7992511200285062E-2</v>
      </c>
      <c r="V4" s="50">
        <f t="shared" si="1"/>
        <v>8.5133504447341135E-2</v>
      </c>
      <c r="W4" s="50">
        <f t="shared" si="1"/>
        <v>8.1893410094182384E-2</v>
      </c>
      <c r="X4" s="50">
        <f t="shared" si="1"/>
        <v>8.0437685531184355E-2</v>
      </c>
      <c r="Y4" s="4"/>
    </row>
    <row r="5" spans="1:28" x14ac:dyDescent="0.3">
      <c r="A5" s="47" t="s">
        <v>3</v>
      </c>
      <c r="B5" s="51">
        <v>1588.6</v>
      </c>
      <c r="C5" s="51">
        <v>1861.9</v>
      </c>
      <c r="D5" s="51">
        <v>540.6</v>
      </c>
      <c r="E5" s="51">
        <v>493.1</v>
      </c>
      <c r="F5" s="51">
        <v>527.20000000000005</v>
      </c>
      <c r="G5" s="51">
        <f>H5-SUM(D5:F5)</f>
        <v>593.29999999999973</v>
      </c>
      <c r="H5" s="51">
        <v>2154.1999999999998</v>
      </c>
      <c r="I5" s="51">
        <v>602.4</v>
      </c>
      <c r="J5" s="51">
        <v>546.70000000000005</v>
      </c>
      <c r="K5" s="51">
        <v>588.29999999999995</v>
      </c>
      <c r="L5" s="51">
        <f>M5-SUM(I5:K5)</f>
        <v>617.60000000000014</v>
      </c>
      <c r="M5" s="51">
        <v>2355</v>
      </c>
      <c r="N5" s="51">
        <v>682.4</v>
      </c>
      <c r="O5" s="51">
        <v>625.6</v>
      </c>
      <c r="P5" s="51">
        <v>660.6</v>
      </c>
      <c r="Q5" s="51">
        <f>R5-SUM(N5:P5)</f>
        <v>683.59999999999991</v>
      </c>
      <c r="R5" s="51">
        <v>2652.2</v>
      </c>
      <c r="S5" s="48">
        <f>'Revenue Build'!K5</f>
        <v>2875</v>
      </c>
      <c r="T5" s="48">
        <f>'Revenue Build'!P5</f>
        <v>3284.9717680069571</v>
      </c>
      <c r="U5" s="48">
        <f>'Revenue Build'!U5</f>
        <v>3546.7617089433502</v>
      </c>
      <c r="V5" s="48">
        <f>'Revenue Build'!Z5</f>
        <v>3817.7240579321556</v>
      </c>
      <c r="W5" s="48">
        <f>'Revenue Build'!AE5</f>
        <v>4098.1189314623616</v>
      </c>
      <c r="X5" s="48">
        <f>'Revenue Build'!AJ5</f>
        <v>4388.2135701222378</v>
      </c>
      <c r="Y5" s="16"/>
    </row>
    <row r="6" spans="1:28" s="5" customFormat="1" x14ac:dyDescent="0.3">
      <c r="A6" s="49" t="s">
        <v>35</v>
      </c>
      <c r="B6" s="52"/>
      <c r="C6" s="50">
        <f>C5/B5-1</f>
        <v>0.17203827269293726</v>
      </c>
      <c r="D6" s="52"/>
      <c r="E6" s="52"/>
      <c r="F6" s="52"/>
      <c r="G6" s="52"/>
      <c r="H6" s="50">
        <f t="shared" ref="H6:R6" si="2">H5/C5-1</f>
        <v>0.15699017133036119</v>
      </c>
      <c r="I6" s="50">
        <f t="shared" si="2"/>
        <v>0.11431742508324083</v>
      </c>
      <c r="J6" s="50">
        <f t="shared" si="2"/>
        <v>0.10870006083958628</v>
      </c>
      <c r="K6" s="50">
        <f t="shared" si="2"/>
        <v>0.11589529590288294</v>
      </c>
      <c r="L6" s="50">
        <f t="shared" si="2"/>
        <v>4.0957357154897123E-2</v>
      </c>
      <c r="M6" s="50">
        <f t="shared" si="2"/>
        <v>9.3213257821929352E-2</v>
      </c>
      <c r="N6" s="50">
        <f t="shared" si="2"/>
        <v>0.13280212483399745</v>
      </c>
      <c r="O6" s="50">
        <f t="shared" si="2"/>
        <v>0.14432046826413014</v>
      </c>
      <c r="P6" s="50">
        <f t="shared" si="2"/>
        <v>0.12289648138704745</v>
      </c>
      <c r="Q6" s="50">
        <f t="shared" si="2"/>
        <v>0.10686528497409298</v>
      </c>
      <c r="R6" s="50">
        <f t="shared" si="2"/>
        <v>0.12619957537154991</v>
      </c>
      <c r="S6" s="50">
        <f t="shared" ref="S6:X6" si="3">S5/R5-1</f>
        <v>8.4005731091169711E-2</v>
      </c>
      <c r="T6" s="50">
        <f t="shared" si="3"/>
        <v>0.14259887582850683</v>
      </c>
      <c r="U6" s="50">
        <f t="shared" si="3"/>
        <v>7.969320877762831E-2</v>
      </c>
      <c r="V6" s="50">
        <f t="shared" si="3"/>
        <v>7.6397111287617392E-2</v>
      </c>
      <c r="W6" s="50">
        <f t="shared" si="3"/>
        <v>7.3445557949015416E-2</v>
      </c>
      <c r="X6" s="50">
        <f t="shared" si="3"/>
        <v>7.0787266917204716E-2</v>
      </c>
      <c r="Y6" s="4"/>
    </row>
    <row r="7" spans="1:28" x14ac:dyDescent="0.3">
      <c r="A7" s="47" t="s">
        <v>4</v>
      </c>
      <c r="B7" s="51">
        <v>1881.3</v>
      </c>
      <c r="C7" s="51">
        <v>2103.5</v>
      </c>
      <c r="D7" s="51">
        <v>622.29999999999995</v>
      </c>
      <c r="E7" s="51">
        <v>555.9</v>
      </c>
      <c r="F7" s="51">
        <v>529.20000000000005</v>
      </c>
      <c r="G7" s="51">
        <f>H7-SUM(D7:F7)</f>
        <v>610.20000000000005</v>
      </c>
      <c r="H7" s="51">
        <v>2317.6</v>
      </c>
      <c r="I7" s="51">
        <v>661.2</v>
      </c>
      <c r="J7" s="51">
        <v>551.9</v>
      </c>
      <c r="K7" s="51">
        <v>564.20000000000005</v>
      </c>
      <c r="L7" s="51">
        <f>M7-SUM(I7:K7)</f>
        <v>603.79999999999995</v>
      </c>
      <c r="M7" s="51">
        <v>2381.1</v>
      </c>
      <c r="N7" s="51">
        <v>649.5</v>
      </c>
      <c r="O7" s="51">
        <v>578.20000000000005</v>
      </c>
      <c r="P7" s="51">
        <v>589.29999999999995</v>
      </c>
      <c r="Q7" s="51">
        <f>R7-SUM(N7:P7)</f>
        <v>560</v>
      </c>
      <c r="R7" s="51">
        <v>2377</v>
      </c>
      <c r="S7" s="48">
        <f>'Revenue Build'!K7</f>
        <v>2089.1999999999998</v>
      </c>
      <c r="T7" s="48">
        <f>'Revenue Build'!P7</f>
        <v>2110.0920000000001</v>
      </c>
      <c r="U7" s="48">
        <f>'Revenue Build'!U7</f>
        <v>2131.19292</v>
      </c>
      <c r="V7" s="48">
        <f>'Revenue Build'!Z7</f>
        <v>2152.5048491999996</v>
      </c>
      <c r="W7" s="48">
        <f>'Revenue Build'!AE7</f>
        <v>2174.0298976919998</v>
      </c>
      <c r="X7" s="48">
        <f>'Revenue Build'!AJ7</f>
        <v>2195.7701966689201</v>
      </c>
      <c r="Y7" s="16"/>
    </row>
    <row r="8" spans="1:28" s="5" customFormat="1" x14ac:dyDescent="0.3">
      <c r="A8" s="49" t="s">
        <v>35</v>
      </c>
      <c r="B8" s="52"/>
      <c r="C8" s="50">
        <f>C7/B7-1</f>
        <v>0.11810981767926432</v>
      </c>
      <c r="D8" s="52"/>
      <c r="E8" s="52"/>
      <c r="F8" s="52"/>
      <c r="G8" s="52"/>
      <c r="H8" s="50">
        <f t="shared" ref="H8:R8" si="4">H7/C7-1</f>
        <v>0.10178274304730217</v>
      </c>
      <c r="I8" s="50">
        <f t="shared" si="4"/>
        <v>6.2510043387433933E-2</v>
      </c>
      <c r="J8" s="50">
        <f t="shared" si="4"/>
        <v>-7.195538765965126E-3</v>
      </c>
      <c r="K8" s="50">
        <f t="shared" si="4"/>
        <v>6.6137566137566051E-2</v>
      </c>
      <c r="L8" s="50">
        <f t="shared" si="4"/>
        <v>-1.0488364470665479E-2</v>
      </c>
      <c r="M8" s="50">
        <f t="shared" si="4"/>
        <v>2.7399033482913282E-2</v>
      </c>
      <c r="N8" s="50">
        <f t="shared" si="4"/>
        <v>-1.7695099818511917E-2</v>
      </c>
      <c r="O8" s="50">
        <f t="shared" si="4"/>
        <v>4.7653560427613817E-2</v>
      </c>
      <c r="P8" s="50">
        <f t="shared" si="4"/>
        <v>4.4487770294221685E-2</v>
      </c>
      <c r="Q8" s="50">
        <f t="shared" si="4"/>
        <v>-7.2540576349784613E-2</v>
      </c>
      <c r="R8" s="50">
        <f t="shared" si="4"/>
        <v>-1.7218932426189548E-3</v>
      </c>
      <c r="S8" s="50">
        <f t="shared" ref="S8:X8" si="5">S7/R7-1</f>
        <v>-0.12107698779974763</v>
      </c>
      <c r="T8" s="50">
        <f t="shared" si="5"/>
        <v>1.0000000000000231E-2</v>
      </c>
      <c r="U8" s="50">
        <f t="shared" si="5"/>
        <v>1.0000000000000009E-2</v>
      </c>
      <c r="V8" s="50">
        <f t="shared" si="5"/>
        <v>9.9999999999997868E-3</v>
      </c>
      <c r="W8" s="50">
        <f t="shared" si="5"/>
        <v>1.0000000000000009E-2</v>
      </c>
      <c r="X8" s="50">
        <f t="shared" si="5"/>
        <v>1.0000000000000009E-2</v>
      </c>
      <c r="Y8" s="4"/>
    </row>
    <row r="9" spans="1:28" s="2" customFormat="1" x14ac:dyDescent="0.3">
      <c r="A9" s="53" t="s">
        <v>5</v>
      </c>
      <c r="B9" s="54">
        <f>B3+B5+B7</f>
        <v>16447.8</v>
      </c>
      <c r="C9" s="54">
        <f>C3+C5+C7</f>
        <v>19162.7</v>
      </c>
      <c r="D9" s="54">
        <v>5373.5</v>
      </c>
      <c r="E9" s="54">
        <v>4993.2</v>
      </c>
      <c r="F9" s="54">
        <v>5238</v>
      </c>
      <c r="G9" s="54">
        <f>H9-SUM(D9:F9)</f>
        <v>5711.1999999999971</v>
      </c>
      <c r="H9" s="54">
        <f>H3+H5+H7</f>
        <v>21315.899999999998</v>
      </c>
      <c r="I9" s="54">
        <v>5732.9</v>
      </c>
      <c r="J9" s="54">
        <v>5294</v>
      </c>
      <c r="K9" s="54">
        <v>5661.5</v>
      </c>
      <c r="L9" s="54">
        <f>M9-SUM(I9:K9)</f>
        <v>5698.3999999999978</v>
      </c>
      <c r="M9" s="54">
        <f>M3+M5+M7</f>
        <v>22386.799999999999</v>
      </c>
      <c r="N9" s="54">
        <v>6073.7</v>
      </c>
      <c r="O9" s="54">
        <v>6031.8</v>
      </c>
      <c r="P9" s="54">
        <v>6310.3</v>
      </c>
      <c r="Q9" s="54">
        <f>R9-SUM(N9:P9)</f>
        <v>6303.7000000000007</v>
      </c>
      <c r="R9" s="54">
        <f>R3+R5+R7</f>
        <v>24719.5</v>
      </c>
      <c r="S9" s="55">
        <f>'Revenue Build'!K9</f>
        <v>26508.600000000002</v>
      </c>
      <c r="T9" s="55">
        <f>'Revenue Build'!P9</f>
        <v>29233.048890145627</v>
      </c>
      <c r="U9" s="55">
        <f>'Revenue Build'!U9</f>
        <v>31613.503923934033</v>
      </c>
      <c r="V9" s="55">
        <f>'Revenue Build'!Z9</f>
        <v>34113.762403372166</v>
      </c>
      <c r="W9" s="55">
        <f>'Revenue Build'!AE9</f>
        <v>36720.45225550131</v>
      </c>
      <c r="X9" s="55">
        <f>'Revenue Build'!AJ9</f>
        <v>39481.478249104694</v>
      </c>
      <c r="Y9" s="1"/>
    </row>
    <row r="10" spans="1:28" s="5" customFormat="1" x14ac:dyDescent="0.3">
      <c r="A10" s="56" t="s">
        <v>35</v>
      </c>
      <c r="B10" s="52"/>
      <c r="C10" s="50">
        <f>C9/B9-1</f>
        <v>0.16506158878391042</v>
      </c>
      <c r="D10" s="52"/>
      <c r="E10" s="52"/>
      <c r="F10" s="52"/>
      <c r="G10" s="52"/>
      <c r="H10" s="50">
        <f t="shared" ref="H10:R10" si="6">H9/C9-1</f>
        <v>0.1123641240534996</v>
      </c>
      <c r="I10" s="50">
        <f t="shared" si="6"/>
        <v>6.6883781520424179E-2</v>
      </c>
      <c r="J10" s="50">
        <f t="shared" si="6"/>
        <v>6.0241929023471918E-2</v>
      </c>
      <c r="K10" s="50">
        <f t="shared" si="6"/>
        <v>8.0851470026727768E-2</v>
      </c>
      <c r="L10" s="50">
        <f t="shared" si="6"/>
        <v>-2.2412102535367406E-3</v>
      </c>
      <c r="M10" s="50">
        <f t="shared" si="6"/>
        <v>5.0239492585347101E-2</v>
      </c>
      <c r="N10" s="50">
        <f t="shared" si="6"/>
        <v>5.9446353503462612E-2</v>
      </c>
      <c r="O10" s="50">
        <f t="shared" si="6"/>
        <v>0.13936531922931628</v>
      </c>
      <c r="P10" s="50">
        <f t="shared" si="6"/>
        <v>0.11459860461008575</v>
      </c>
      <c r="Q10" s="50">
        <f t="shared" si="6"/>
        <v>0.10622279938228329</v>
      </c>
      <c r="R10" s="50">
        <f t="shared" si="6"/>
        <v>0.10419979630853904</v>
      </c>
      <c r="S10" s="50">
        <f t="shared" ref="S10:X10" si="7">S9/R9-1</f>
        <v>7.2376059386314529E-2</v>
      </c>
      <c r="T10" s="50">
        <f t="shared" si="7"/>
        <v>0.10277603834776738</v>
      </c>
      <c r="U10" s="50">
        <f t="shared" si="7"/>
        <v>8.1430268964892472E-2</v>
      </c>
      <c r="V10" s="50">
        <f t="shared" si="7"/>
        <v>7.9088306233123129E-2</v>
      </c>
      <c r="W10" s="50">
        <f t="shared" si="7"/>
        <v>7.64116787033573E-2</v>
      </c>
      <c r="X10" s="50">
        <f t="shared" si="7"/>
        <v>7.5190413625413344E-2</v>
      </c>
      <c r="Y10" s="4"/>
    </row>
    <row r="11" spans="1:28" s="5" customFormat="1" x14ac:dyDescent="0.3">
      <c r="A11" s="56"/>
      <c r="B11" s="52"/>
      <c r="C11" s="50"/>
      <c r="D11" s="52"/>
      <c r="E11" s="52"/>
      <c r="F11" s="52"/>
      <c r="G11" s="52"/>
      <c r="H11" s="50"/>
      <c r="I11" s="52"/>
      <c r="J11" s="52"/>
      <c r="K11" s="52"/>
      <c r="L11" s="52"/>
      <c r="M11" s="50"/>
      <c r="N11" s="52"/>
      <c r="O11" s="52"/>
      <c r="P11" s="52"/>
      <c r="Q11" s="52"/>
      <c r="R11" s="50"/>
      <c r="S11" s="50"/>
      <c r="T11" s="50"/>
      <c r="U11" s="50"/>
      <c r="V11" s="50"/>
      <c r="W11" s="50"/>
      <c r="X11" s="50"/>
      <c r="Y11" s="4"/>
    </row>
    <row r="12" spans="1:28" x14ac:dyDescent="0.3">
      <c r="A12" s="45" t="s">
        <v>6</v>
      </c>
      <c r="B12" s="51">
        <v>6858.8</v>
      </c>
      <c r="C12" s="51">
        <v>7787.5</v>
      </c>
      <c r="D12" s="51">
        <v>2186.1999999999998</v>
      </c>
      <c r="E12" s="51">
        <v>2010.3</v>
      </c>
      <c r="F12" s="51">
        <v>2060.3000000000002</v>
      </c>
      <c r="G12" s="51">
        <f>H12-SUM(D12:F12)</f>
        <v>2254.3000000000002</v>
      </c>
      <c r="H12" s="51">
        <v>8511.1</v>
      </c>
      <c r="I12" s="51">
        <v>2295</v>
      </c>
      <c r="J12" s="51">
        <v>2141.1999999999998</v>
      </c>
      <c r="K12" s="51">
        <v>2249.1</v>
      </c>
      <c r="L12" s="51">
        <f>M12-SUM(I12:K12)</f>
        <v>2349</v>
      </c>
      <c r="M12" s="51">
        <v>9034.2999999999993</v>
      </c>
      <c r="N12" s="51">
        <v>2502.9</v>
      </c>
      <c r="O12" s="51">
        <v>2516</v>
      </c>
      <c r="P12" s="51">
        <v>2554.9</v>
      </c>
      <c r="Q12" s="51">
        <f>R12-SUM(N12:P12)</f>
        <v>2600.7000000000007</v>
      </c>
      <c r="R12" s="51">
        <v>10174.5</v>
      </c>
      <c r="S12" s="51">
        <f>'Revenue Build'!K69</f>
        <v>10926.9</v>
      </c>
      <c r="T12" s="51">
        <f>'Revenue Build'!P69</f>
        <v>11734.939663865545</v>
      </c>
      <c r="U12" s="51">
        <f>'Revenue Build'!U69</f>
        <v>12556.385440336135</v>
      </c>
      <c r="V12" s="51">
        <f>'Revenue Build'!Z69</f>
        <v>13435.332421159665</v>
      </c>
      <c r="W12" s="51">
        <f>'Revenue Build'!AE69</f>
        <v>14375.805690640842</v>
      </c>
      <c r="X12" s="51">
        <f>'Revenue Build'!AJ69</f>
        <v>15382.112088985701</v>
      </c>
      <c r="Y12" s="16"/>
    </row>
    <row r="13" spans="1:28" s="2" customFormat="1" x14ac:dyDescent="0.3">
      <c r="A13" s="53" t="s">
        <v>36</v>
      </c>
      <c r="B13" s="54">
        <f>B12</f>
        <v>6858.8</v>
      </c>
      <c r="C13" s="54">
        <f t="shared" ref="C13:X13" si="8">C12</f>
        <v>7787.5</v>
      </c>
      <c r="D13" s="54">
        <f t="shared" si="8"/>
        <v>2186.1999999999998</v>
      </c>
      <c r="E13" s="54">
        <f t="shared" si="8"/>
        <v>2010.3</v>
      </c>
      <c r="F13" s="54">
        <f t="shared" si="8"/>
        <v>2060.3000000000002</v>
      </c>
      <c r="G13" s="54">
        <f t="shared" si="8"/>
        <v>2254.3000000000002</v>
      </c>
      <c r="H13" s="54">
        <f t="shared" si="8"/>
        <v>8511.1</v>
      </c>
      <c r="I13" s="54">
        <f t="shared" si="8"/>
        <v>2295</v>
      </c>
      <c r="J13" s="54">
        <f t="shared" si="8"/>
        <v>2141.1999999999998</v>
      </c>
      <c r="K13" s="54">
        <f t="shared" si="8"/>
        <v>2249.1</v>
      </c>
      <c r="L13" s="54">
        <f t="shared" si="8"/>
        <v>2349</v>
      </c>
      <c r="M13" s="54">
        <f t="shared" si="8"/>
        <v>9034.2999999999993</v>
      </c>
      <c r="N13" s="54">
        <f t="shared" si="8"/>
        <v>2502.9</v>
      </c>
      <c r="O13" s="54">
        <f t="shared" si="8"/>
        <v>2516</v>
      </c>
      <c r="P13" s="54">
        <f t="shared" si="8"/>
        <v>2554.9</v>
      </c>
      <c r="Q13" s="54">
        <f t="shared" si="8"/>
        <v>2600.7000000000007</v>
      </c>
      <c r="R13" s="54">
        <f t="shared" si="8"/>
        <v>10174.5</v>
      </c>
      <c r="S13" s="54">
        <f t="shared" si="8"/>
        <v>10926.9</v>
      </c>
      <c r="T13" s="54">
        <f t="shared" si="8"/>
        <v>11734.939663865545</v>
      </c>
      <c r="U13" s="54">
        <f t="shared" si="8"/>
        <v>12556.385440336135</v>
      </c>
      <c r="V13" s="54">
        <f t="shared" si="8"/>
        <v>13435.332421159665</v>
      </c>
      <c r="W13" s="54">
        <f t="shared" si="8"/>
        <v>14375.805690640842</v>
      </c>
      <c r="X13" s="54">
        <f t="shared" si="8"/>
        <v>15382.112088985701</v>
      </c>
      <c r="Y13" s="1"/>
    </row>
    <row r="14" spans="1:28" s="2" customFormat="1" x14ac:dyDescent="0.3">
      <c r="A14" s="53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1"/>
    </row>
    <row r="15" spans="1:28" s="2" customFormat="1" x14ac:dyDescent="0.3">
      <c r="A15" s="53" t="s">
        <v>38</v>
      </c>
      <c r="B15" s="54">
        <f>B9-B13</f>
        <v>9589</v>
      </c>
      <c r="C15" s="54">
        <f t="shared" ref="C15:X15" si="9">C9-C13</f>
        <v>11375.2</v>
      </c>
      <c r="D15" s="54">
        <f t="shared" si="9"/>
        <v>3187.3</v>
      </c>
      <c r="E15" s="54">
        <f t="shared" si="9"/>
        <v>2982.8999999999996</v>
      </c>
      <c r="F15" s="54">
        <f t="shared" si="9"/>
        <v>3177.7</v>
      </c>
      <c r="G15" s="54">
        <f t="shared" si="9"/>
        <v>3456.8999999999969</v>
      </c>
      <c r="H15" s="54">
        <f t="shared" si="9"/>
        <v>12804.799999999997</v>
      </c>
      <c r="I15" s="54">
        <f t="shared" si="9"/>
        <v>3437.8999999999996</v>
      </c>
      <c r="J15" s="54">
        <f t="shared" si="9"/>
        <v>3152.8</v>
      </c>
      <c r="K15" s="54">
        <f t="shared" si="9"/>
        <v>3412.4</v>
      </c>
      <c r="L15" s="54">
        <f t="shared" si="9"/>
        <v>3349.3999999999978</v>
      </c>
      <c r="M15" s="54">
        <f t="shared" si="9"/>
        <v>13352.5</v>
      </c>
      <c r="N15" s="54">
        <f t="shared" si="9"/>
        <v>3570.7999999999997</v>
      </c>
      <c r="O15" s="54">
        <f t="shared" si="9"/>
        <v>3515.8</v>
      </c>
      <c r="P15" s="54">
        <f t="shared" si="9"/>
        <v>3755.4</v>
      </c>
      <c r="Q15" s="54">
        <f t="shared" si="9"/>
        <v>3703</v>
      </c>
      <c r="R15" s="54">
        <f t="shared" si="9"/>
        <v>14545</v>
      </c>
      <c r="S15" s="54">
        <f t="shared" si="9"/>
        <v>15581.700000000003</v>
      </c>
      <c r="T15" s="54">
        <f t="shared" si="9"/>
        <v>17498.109226280081</v>
      </c>
      <c r="U15" s="54">
        <f t="shared" si="9"/>
        <v>19057.1184835979</v>
      </c>
      <c r="V15" s="54">
        <f t="shared" si="9"/>
        <v>20678.429982212503</v>
      </c>
      <c r="W15" s="54">
        <f t="shared" si="9"/>
        <v>22344.646564860468</v>
      </c>
      <c r="X15" s="54">
        <f t="shared" si="9"/>
        <v>24099.366160118992</v>
      </c>
      <c r="Y15" s="1"/>
    </row>
    <row r="16" spans="1:28" s="5" customFormat="1" x14ac:dyDescent="0.3">
      <c r="A16" s="56" t="s">
        <v>37</v>
      </c>
      <c r="B16" s="50">
        <f>B15/B9</f>
        <v>0.58299590218752662</v>
      </c>
      <c r="C16" s="50">
        <f t="shared" ref="C16:X16" si="10">C15/C9</f>
        <v>0.59361154743329492</v>
      </c>
      <c r="D16" s="50">
        <f t="shared" si="10"/>
        <v>0.59315157718433054</v>
      </c>
      <c r="E16" s="50">
        <f t="shared" si="10"/>
        <v>0.59739245373708239</v>
      </c>
      <c r="F16" s="50">
        <f t="shared" si="10"/>
        <v>0.60666284841542573</v>
      </c>
      <c r="G16" s="50">
        <f t="shared" si="10"/>
        <v>0.60528435355091725</v>
      </c>
      <c r="H16" s="50">
        <f t="shared" si="10"/>
        <v>0.60071589752250665</v>
      </c>
      <c r="I16" s="50">
        <f t="shared" si="10"/>
        <v>0.59967904550925355</v>
      </c>
      <c r="J16" s="50">
        <f t="shared" si="10"/>
        <v>0.59554212315829247</v>
      </c>
      <c r="K16" s="50">
        <f t="shared" si="10"/>
        <v>0.60273779033824959</v>
      </c>
      <c r="L16" s="50">
        <f t="shared" si="10"/>
        <v>0.58777902569142204</v>
      </c>
      <c r="M16" s="50">
        <f t="shared" si="10"/>
        <v>0.59644522665141964</v>
      </c>
      <c r="N16" s="50">
        <f t="shared" si="10"/>
        <v>0.58791181652040758</v>
      </c>
      <c r="O16" s="50">
        <f t="shared" si="10"/>
        <v>0.58287741635995893</v>
      </c>
      <c r="P16" s="50">
        <f t="shared" si="10"/>
        <v>0.5951222604313583</v>
      </c>
      <c r="Q16" s="50">
        <f t="shared" si="10"/>
        <v>0.58743277757507484</v>
      </c>
      <c r="R16" s="50">
        <f t="shared" si="10"/>
        <v>0.58840186896984159</v>
      </c>
      <c r="S16" s="50">
        <f t="shared" si="10"/>
        <v>0.58779792218374416</v>
      </c>
      <c r="T16" s="50">
        <f t="shared" si="10"/>
        <v>0.59857284445546288</v>
      </c>
      <c r="U16" s="50">
        <f t="shared" si="10"/>
        <v>0.60281576282881089</v>
      </c>
      <c r="V16" s="50">
        <f t="shared" si="10"/>
        <v>0.60616093111349179</v>
      </c>
      <c r="W16" s="50">
        <f t="shared" si="10"/>
        <v>0.60850684543278966</v>
      </c>
      <c r="X16" s="50">
        <f t="shared" si="10"/>
        <v>0.61039675384154302</v>
      </c>
      <c r="Y16" s="4"/>
    </row>
    <row r="17" spans="1:25" s="2" customFormat="1" x14ac:dyDescent="0.3">
      <c r="A17" s="53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1"/>
    </row>
    <row r="18" spans="1:25" x14ac:dyDescent="0.3">
      <c r="A18" s="45" t="s">
        <v>7</v>
      </c>
      <c r="B18" s="51">
        <v>4638.2</v>
      </c>
      <c r="C18" s="51">
        <v>5411.1</v>
      </c>
      <c r="D18" s="51">
        <v>1506.2</v>
      </c>
      <c r="E18" s="51">
        <v>1466.4</v>
      </c>
      <c r="F18" s="51">
        <v>1529.4</v>
      </c>
      <c r="G18" s="51">
        <f>H18-SUM(D18:F18)</f>
        <v>1562.3000000000002</v>
      </c>
      <c r="H18" s="51">
        <v>6064.3</v>
      </c>
      <c r="I18" s="51">
        <v>1638.2</v>
      </c>
      <c r="J18" s="51">
        <v>1586.4</v>
      </c>
      <c r="K18" s="51">
        <v>1628.9</v>
      </c>
      <c r="L18" s="51">
        <f>M18-SUM(I18:K18)</f>
        <v>1639.8000000000002</v>
      </c>
      <c r="M18" s="51">
        <v>6493.3</v>
      </c>
      <c r="N18" s="51">
        <v>1737</v>
      </c>
      <c r="O18" s="51">
        <v>1789.6</v>
      </c>
      <c r="P18" s="51">
        <v>1825</v>
      </c>
      <c r="Q18" s="51">
        <f>R18-SUM(N18:P18)</f>
        <v>1841.5999999999995</v>
      </c>
      <c r="R18" s="51">
        <v>7193.2</v>
      </c>
      <c r="S18" s="51">
        <f t="shared" ref="S18:X18" si="11">S19*S9</f>
        <v>7687.4939999999997</v>
      </c>
      <c r="T18" s="51">
        <f t="shared" si="11"/>
        <v>8477.5841781422314</v>
      </c>
      <c r="U18" s="51">
        <f t="shared" si="11"/>
        <v>9167.9161379408688</v>
      </c>
      <c r="V18" s="51">
        <f t="shared" si="11"/>
        <v>9892.9910969779266</v>
      </c>
      <c r="W18" s="51">
        <f t="shared" si="11"/>
        <v>10648.931154095379</v>
      </c>
      <c r="X18" s="51">
        <f t="shared" si="11"/>
        <v>11449.62869224036</v>
      </c>
      <c r="Y18" s="16"/>
    </row>
    <row r="19" spans="1:25" s="7" customFormat="1" x14ac:dyDescent="0.3">
      <c r="A19" s="57" t="s">
        <v>180</v>
      </c>
      <c r="B19" s="50">
        <f>B18/B9</f>
        <v>0.28199516044698986</v>
      </c>
      <c r="C19" s="50">
        <f t="shared" ref="C19:R19" si="12">C18/C9</f>
        <v>0.28237670056933523</v>
      </c>
      <c r="D19" s="50">
        <f t="shared" si="12"/>
        <v>0.28030147948264633</v>
      </c>
      <c r="E19" s="50">
        <f t="shared" si="12"/>
        <v>0.29367940398942566</v>
      </c>
      <c r="F19" s="50">
        <f t="shared" si="12"/>
        <v>0.29198167239404355</v>
      </c>
      <c r="G19" s="50">
        <f t="shared" si="12"/>
        <v>0.27355021711724348</v>
      </c>
      <c r="H19" s="50">
        <f t="shared" si="12"/>
        <v>0.28449654952406422</v>
      </c>
      <c r="I19" s="50">
        <f t="shared" si="12"/>
        <v>0.2857541558373598</v>
      </c>
      <c r="J19" s="50">
        <f t="shared" si="12"/>
        <v>0.29965999244427655</v>
      </c>
      <c r="K19" s="50">
        <f t="shared" si="12"/>
        <v>0.28771526980482204</v>
      </c>
      <c r="L19" s="50">
        <f t="shared" si="12"/>
        <v>0.28776498666292305</v>
      </c>
      <c r="M19" s="50">
        <f t="shared" si="12"/>
        <v>0.29005038683509926</v>
      </c>
      <c r="N19" s="50">
        <f t="shared" si="12"/>
        <v>0.28598712481683325</v>
      </c>
      <c r="O19" s="50">
        <f t="shared" si="12"/>
        <v>0.29669418747305942</v>
      </c>
      <c r="P19" s="50">
        <f t="shared" si="12"/>
        <v>0.28920970476839453</v>
      </c>
      <c r="Q19" s="50">
        <f t="shared" si="12"/>
        <v>0.29214588257689916</v>
      </c>
      <c r="R19" s="50">
        <f t="shared" si="12"/>
        <v>0.29099294079572807</v>
      </c>
      <c r="S19" s="58">
        <v>0.28999999999999998</v>
      </c>
      <c r="T19" s="58">
        <v>0.28999999999999998</v>
      </c>
      <c r="U19" s="58">
        <v>0.28999999999999998</v>
      </c>
      <c r="V19" s="58">
        <v>0.28999999999999998</v>
      </c>
      <c r="W19" s="58">
        <v>0.28999999999999998</v>
      </c>
      <c r="X19" s="58">
        <v>0.28999999999999998</v>
      </c>
      <c r="Y19" s="4"/>
    </row>
    <row r="20" spans="1:25" x14ac:dyDescent="0.3">
      <c r="A20" s="45" t="s">
        <v>8</v>
      </c>
      <c r="B20" s="51">
        <v>457.3</v>
      </c>
      <c r="C20" s="51">
        <v>522.4</v>
      </c>
      <c r="D20" s="51">
        <v>146.19999999999999</v>
      </c>
      <c r="E20" s="51">
        <v>139.6</v>
      </c>
      <c r="F20" s="51">
        <v>137.5</v>
      </c>
      <c r="G20" s="51">
        <f>H20-SUM(D20:F20)</f>
        <v>122.10000000000002</v>
      </c>
      <c r="H20" s="51">
        <v>545.4</v>
      </c>
      <c r="I20" s="51">
        <v>145.4</v>
      </c>
      <c r="J20" s="51">
        <v>134.69999999999999</v>
      </c>
      <c r="K20" s="51">
        <v>142.5</v>
      </c>
      <c r="L20" s="51">
        <f>M20-SUM(I20:K20)</f>
        <v>77.699999999999989</v>
      </c>
      <c r="M20" s="51">
        <v>500.3</v>
      </c>
      <c r="N20" s="51">
        <v>141.6</v>
      </c>
      <c r="O20" s="51">
        <v>134.30000000000001</v>
      </c>
      <c r="P20" s="51">
        <v>148</v>
      </c>
      <c r="Q20" s="51">
        <f>R20-SUM(N20:P20)</f>
        <v>115.39999999999998</v>
      </c>
      <c r="R20" s="51">
        <v>539.29999999999995</v>
      </c>
      <c r="S20" s="51">
        <f t="shared" ref="S20:X20" si="13">S21*S9</f>
        <v>583.18920000000003</v>
      </c>
      <c r="T20" s="51">
        <f t="shared" si="13"/>
        <v>643.12707558320369</v>
      </c>
      <c r="U20" s="51">
        <f t="shared" si="13"/>
        <v>695.4970863265487</v>
      </c>
      <c r="V20" s="51">
        <f t="shared" si="13"/>
        <v>750.5027728741876</v>
      </c>
      <c r="W20" s="51">
        <f t="shared" si="13"/>
        <v>807.84994962102883</v>
      </c>
      <c r="X20" s="51">
        <f t="shared" si="13"/>
        <v>868.59252148030316</v>
      </c>
      <c r="Y20" s="16"/>
    </row>
    <row r="21" spans="1:25" s="7" customFormat="1" x14ac:dyDescent="0.3">
      <c r="A21" s="57" t="s">
        <v>180</v>
      </c>
      <c r="B21" s="50">
        <f>B20/B9</f>
        <v>2.7803110446381889E-2</v>
      </c>
      <c r="C21" s="50">
        <f t="shared" ref="C21:R21" si="14">C20/C9</f>
        <v>2.7261294076513225E-2</v>
      </c>
      <c r="D21" s="50">
        <f t="shared" si="14"/>
        <v>2.7207592816599978E-2</v>
      </c>
      <c r="E21" s="50">
        <f t="shared" si="14"/>
        <v>2.7958022911159175E-2</v>
      </c>
      <c r="F21" s="50">
        <f t="shared" si="14"/>
        <v>2.6250477281405116E-2</v>
      </c>
      <c r="G21" s="50">
        <f t="shared" si="14"/>
        <v>2.1379044684129444E-2</v>
      </c>
      <c r="H21" s="50">
        <f t="shared" si="14"/>
        <v>2.5586533995749654E-2</v>
      </c>
      <c r="I21" s="50">
        <f t="shared" si="14"/>
        <v>2.5362382040503065E-2</v>
      </c>
      <c r="J21" s="50">
        <f t="shared" si="14"/>
        <v>2.5443898753305626E-2</v>
      </c>
      <c r="K21" s="50">
        <f t="shared" si="14"/>
        <v>2.5170007948423563E-2</v>
      </c>
      <c r="L21" s="50">
        <f t="shared" si="14"/>
        <v>1.3635406429875057E-2</v>
      </c>
      <c r="M21" s="50">
        <f t="shared" si="14"/>
        <v>2.2347990780281237E-2</v>
      </c>
      <c r="N21" s="50">
        <f t="shared" si="14"/>
        <v>2.33136309004396E-2</v>
      </c>
      <c r="O21" s="50">
        <f t="shared" si="14"/>
        <v>2.2265327099704899E-2</v>
      </c>
      <c r="P21" s="50">
        <f t="shared" si="14"/>
        <v>2.3453718523683501E-2</v>
      </c>
      <c r="Q21" s="50">
        <f t="shared" si="14"/>
        <v>1.8306708758348268E-2</v>
      </c>
      <c r="R21" s="50">
        <f t="shared" si="14"/>
        <v>2.1816784320071198E-2</v>
      </c>
      <c r="S21" s="58">
        <v>2.1999999999999999E-2</v>
      </c>
      <c r="T21" s="58">
        <v>2.1999999999999999E-2</v>
      </c>
      <c r="U21" s="58">
        <v>2.1999999999999999E-2</v>
      </c>
      <c r="V21" s="58">
        <v>2.1999999999999999E-2</v>
      </c>
      <c r="W21" s="58">
        <v>2.1999999999999999E-2</v>
      </c>
      <c r="X21" s="58">
        <v>2.1999999999999999E-2</v>
      </c>
      <c r="Y21" s="4"/>
    </row>
    <row r="22" spans="1:25" x14ac:dyDescent="0.3">
      <c r="A22" s="45" t="s">
        <v>9</v>
      </c>
      <c r="B22" s="51">
        <v>709.6</v>
      </c>
      <c r="C22" s="51">
        <v>893.9</v>
      </c>
      <c r="D22" s="51">
        <v>235.5</v>
      </c>
      <c r="E22" s="51">
        <v>247.8</v>
      </c>
      <c r="F22" s="51">
        <v>247.6</v>
      </c>
      <c r="G22" s="51">
        <f>H22-SUM(D22:F22)</f>
        <v>249.89999999999998</v>
      </c>
      <c r="H22" s="51">
        <v>980.8</v>
      </c>
      <c r="I22" s="51">
        <v>249.7</v>
      </c>
      <c r="J22" s="51">
        <v>253.6</v>
      </c>
      <c r="K22" s="51">
        <v>252.6</v>
      </c>
      <c r="L22" s="51">
        <f>M22-SUM(I22:K22)</f>
        <v>255.5</v>
      </c>
      <c r="M22" s="51">
        <v>1011.4</v>
      </c>
      <c r="N22" s="51">
        <v>258.8</v>
      </c>
      <c r="O22" s="51">
        <v>331.6</v>
      </c>
      <c r="P22" s="51">
        <v>330</v>
      </c>
      <c r="Q22" s="51">
        <f>R22-SUM(N22:P22)</f>
        <v>326.59999999999991</v>
      </c>
      <c r="R22" s="51">
        <v>1247</v>
      </c>
      <c r="S22" s="51">
        <f>'Balance Sheet'!G26</f>
        <v>1359.5147279999999</v>
      </c>
      <c r="T22" s="51">
        <f>'Balance Sheet'!H26</f>
        <v>1548.9448848081433</v>
      </c>
      <c r="U22" s="51">
        <f>'Balance Sheet'!I26</f>
        <v>1753.8003902352359</v>
      </c>
      <c r="V22" s="51">
        <f>'Balance Sheet'!J26</f>
        <v>1974.8575706090876</v>
      </c>
      <c r="W22" s="51">
        <f>'Balance Sheet'!K26</f>
        <v>2212.8061012247358</v>
      </c>
      <c r="X22" s="51">
        <f>'Balance Sheet'!L26</f>
        <v>2468.6460802789343</v>
      </c>
      <c r="Y22" s="16"/>
    </row>
    <row r="23" spans="1:25" s="7" customFormat="1" x14ac:dyDescent="0.3">
      <c r="A23" s="57" t="s">
        <v>180</v>
      </c>
      <c r="B23" s="50">
        <f>B22/B9</f>
        <v>4.3142547939542072E-2</v>
      </c>
      <c r="C23" s="50">
        <f t="shared" ref="C23:R23" si="15">C22/C9</f>
        <v>4.6647914959791675E-2</v>
      </c>
      <c r="D23" s="50">
        <f t="shared" si="15"/>
        <v>4.3826184051363168E-2</v>
      </c>
      <c r="E23" s="50">
        <f t="shared" si="15"/>
        <v>4.962749339101178E-2</v>
      </c>
      <c r="F23" s="50">
        <f t="shared" si="15"/>
        <v>4.7269950362733869E-2</v>
      </c>
      <c r="G23" s="50">
        <f t="shared" si="15"/>
        <v>4.3756128309287032E-2</v>
      </c>
      <c r="H23" s="50">
        <f t="shared" si="15"/>
        <v>4.601260092231621E-2</v>
      </c>
      <c r="I23" s="50">
        <f t="shared" si="15"/>
        <v>4.3555617575747003E-2</v>
      </c>
      <c r="J23" s="50">
        <f t="shared" si="15"/>
        <v>4.7903286739705328E-2</v>
      </c>
      <c r="K23" s="50">
        <f t="shared" si="15"/>
        <v>4.4617150931731873E-2</v>
      </c>
      <c r="L23" s="50">
        <f t="shared" si="15"/>
        <v>4.4837147269408975E-2</v>
      </c>
      <c r="M23" s="50">
        <f t="shared" si="15"/>
        <v>4.5178408705129812E-2</v>
      </c>
      <c r="N23" s="50">
        <f t="shared" si="15"/>
        <v>4.2609941221989897E-2</v>
      </c>
      <c r="O23" s="50">
        <f t="shared" si="15"/>
        <v>5.4975297589442626E-2</v>
      </c>
      <c r="P23" s="50">
        <f t="shared" si="15"/>
        <v>5.2295453464969971E-2</v>
      </c>
      <c r="Q23" s="50">
        <f t="shared" si="15"/>
        <v>5.1810841251963113E-2</v>
      </c>
      <c r="R23" s="50">
        <f t="shared" si="15"/>
        <v>5.0446004166750949E-2</v>
      </c>
      <c r="S23" s="58">
        <f>S22/S9</f>
        <v>5.1285798872818623E-2</v>
      </c>
      <c r="T23" s="58">
        <f t="shared" ref="T23:X23" si="16">T22/T9</f>
        <v>5.2986087446057949E-2</v>
      </c>
      <c r="U23" s="58">
        <f t="shared" si="16"/>
        <v>5.5476305140205108E-2</v>
      </c>
      <c r="V23" s="58">
        <f t="shared" si="16"/>
        <v>5.7890347809125615E-2</v>
      </c>
      <c r="W23" s="58">
        <f t="shared" si="16"/>
        <v>6.0260861871417236E-2</v>
      </c>
      <c r="X23" s="58">
        <f t="shared" si="16"/>
        <v>6.2526688203092165E-2</v>
      </c>
      <c r="Y23" s="4"/>
    </row>
    <row r="24" spans="1:25" x14ac:dyDescent="0.3">
      <c r="A24" s="45" t="s">
        <v>10</v>
      </c>
      <c r="B24" s="51">
        <v>991.3</v>
      </c>
      <c r="C24" s="51">
        <v>1196.7</v>
      </c>
      <c r="D24" s="51">
        <v>305.5</v>
      </c>
      <c r="E24" s="51">
        <v>330.5</v>
      </c>
      <c r="F24" s="51">
        <v>323.39999999999998</v>
      </c>
      <c r="G24" s="51">
        <f>H24-SUM(D24:F24)</f>
        <v>401.19999999999993</v>
      </c>
      <c r="H24" s="51">
        <v>1360.6</v>
      </c>
      <c r="I24" s="51">
        <v>356.4</v>
      </c>
      <c r="J24" s="51">
        <v>326.8</v>
      </c>
      <c r="K24" s="51">
        <v>325</v>
      </c>
      <c r="L24" s="51">
        <f>M24-SUM(I24:K24)</f>
        <v>442.5</v>
      </c>
      <c r="M24" s="51">
        <v>1450.7</v>
      </c>
      <c r="N24" s="51">
        <v>379.1</v>
      </c>
      <c r="O24" s="51">
        <v>405.8</v>
      </c>
      <c r="P24" s="51">
        <v>468.7</v>
      </c>
      <c r="Q24" s="51">
        <f>R24-SUM(N24:P24)</f>
        <v>505.39999999999986</v>
      </c>
      <c r="R24" s="51">
        <v>1759</v>
      </c>
      <c r="S24" s="51">
        <f t="shared" ref="S24:X24" si="17">S25*S9</f>
        <v>1855.6020000000003</v>
      </c>
      <c r="T24" s="51">
        <f t="shared" si="17"/>
        <v>2046.313422310194</v>
      </c>
      <c r="U24" s="51">
        <f t="shared" si="17"/>
        <v>2212.9452746753827</v>
      </c>
      <c r="V24" s="51">
        <f t="shared" si="17"/>
        <v>2387.9633682360518</v>
      </c>
      <c r="W24" s="51">
        <f t="shared" si="17"/>
        <v>2570.4316578850921</v>
      </c>
      <c r="X24" s="51">
        <f t="shared" si="17"/>
        <v>2763.7034774373287</v>
      </c>
      <c r="Y24" s="16"/>
    </row>
    <row r="25" spans="1:25" s="7" customFormat="1" x14ac:dyDescent="0.3">
      <c r="A25" s="57" t="s">
        <v>180</v>
      </c>
      <c r="B25" s="50">
        <f>B24/B9</f>
        <v>6.0269458529408189E-2</v>
      </c>
      <c r="C25" s="50">
        <f t="shared" ref="C25:R25" si="18">C24/C9</f>
        <v>6.2449446059271399E-2</v>
      </c>
      <c r="D25" s="50">
        <f t="shared" si="18"/>
        <v>5.6853075276821437E-2</v>
      </c>
      <c r="E25" s="50">
        <f t="shared" si="18"/>
        <v>6.6190018425058075E-2</v>
      </c>
      <c r="F25" s="50">
        <f t="shared" si="18"/>
        <v>6.174112256586483E-2</v>
      </c>
      <c r="G25" s="50">
        <f t="shared" si="18"/>
        <v>7.024793388429755E-2</v>
      </c>
      <c r="H25" s="50">
        <f t="shared" si="18"/>
        <v>6.3830286312095669E-2</v>
      </c>
      <c r="I25" s="50">
        <f t="shared" si="18"/>
        <v>6.2167489403268848E-2</v>
      </c>
      <c r="J25" s="50">
        <f t="shared" si="18"/>
        <v>6.1730260672459389E-2</v>
      </c>
      <c r="K25" s="50">
        <f t="shared" si="18"/>
        <v>5.7405281285878303E-2</v>
      </c>
      <c r="L25" s="50">
        <f t="shared" si="18"/>
        <v>7.7653376386354098E-2</v>
      </c>
      <c r="M25" s="50">
        <f t="shared" si="18"/>
        <v>6.4801579502206663E-2</v>
      </c>
      <c r="N25" s="50">
        <f t="shared" si="18"/>
        <v>6.2416648830202356E-2</v>
      </c>
      <c r="O25" s="50">
        <f t="shared" si="18"/>
        <v>6.7276766471036836E-2</v>
      </c>
      <c r="P25" s="50">
        <f t="shared" si="18"/>
        <v>7.4275391027367951E-2</v>
      </c>
      <c r="Q25" s="50">
        <f t="shared" si="18"/>
        <v>8.0175135238034781E-2</v>
      </c>
      <c r="R25" s="50">
        <f t="shared" si="18"/>
        <v>7.1158397216772182E-2</v>
      </c>
      <c r="S25" s="58">
        <v>7.0000000000000007E-2</v>
      </c>
      <c r="T25" s="58">
        <v>7.0000000000000007E-2</v>
      </c>
      <c r="U25" s="58">
        <v>7.0000000000000007E-2</v>
      </c>
      <c r="V25" s="58">
        <v>7.0000000000000007E-2</v>
      </c>
      <c r="W25" s="58">
        <v>7.0000000000000007E-2</v>
      </c>
      <c r="X25" s="58">
        <v>7.0000000000000007E-2</v>
      </c>
      <c r="Y25" s="4"/>
    </row>
    <row r="26" spans="1:25" x14ac:dyDescent="0.3">
      <c r="A26" s="45" t="s">
        <v>11</v>
      </c>
      <c r="B26" s="51">
        <v>-20.2</v>
      </c>
      <c r="C26" s="59">
        <v>0</v>
      </c>
      <c r="D26" s="51"/>
      <c r="E26" s="51"/>
      <c r="F26" s="51"/>
      <c r="G26" s="51">
        <f>H26-SUM(D26:F26)</f>
        <v>0</v>
      </c>
      <c r="H26" s="59">
        <v>0</v>
      </c>
      <c r="I26" s="59" t="s">
        <v>20</v>
      </c>
      <c r="J26" s="59">
        <v>0</v>
      </c>
      <c r="K26" s="51">
        <v>120.2</v>
      </c>
      <c r="L26" s="51">
        <f>M26-SUM(I26:K26)</f>
        <v>33.299999999999997</v>
      </c>
      <c r="M26" s="51">
        <v>153.5</v>
      </c>
      <c r="N26" s="51">
        <v>27.6</v>
      </c>
      <c r="O26" s="51">
        <v>134.69999999999999</v>
      </c>
      <c r="P26" s="51">
        <v>16.899999999999999</v>
      </c>
      <c r="Q26" s="51">
        <f>R26-SUM(N26:P26)</f>
        <v>45.200000000000017</v>
      </c>
      <c r="R26" s="51">
        <v>224.4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60"/>
      <c r="Y26" s="16"/>
    </row>
    <row r="27" spans="1:25" s="2" customFormat="1" x14ac:dyDescent="0.3">
      <c r="A27" s="53" t="s">
        <v>40</v>
      </c>
      <c r="B27" s="54">
        <f t="shared" ref="B27:Q27" si="19">SUM(B18+B20+B22+B24+B26)</f>
        <v>6776.2000000000007</v>
      </c>
      <c r="C27" s="54">
        <f t="shared" si="19"/>
        <v>8024.0999999999995</v>
      </c>
      <c r="D27" s="54">
        <f t="shared" si="19"/>
        <v>2193.4</v>
      </c>
      <c r="E27" s="54">
        <f t="shared" si="19"/>
        <v>2184.3000000000002</v>
      </c>
      <c r="F27" s="54">
        <f t="shared" si="19"/>
        <v>2237.9</v>
      </c>
      <c r="G27" s="54">
        <f t="shared" si="19"/>
        <v>2335.5</v>
      </c>
      <c r="H27" s="54">
        <f t="shared" si="19"/>
        <v>8951.1</v>
      </c>
      <c r="I27" s="54" t="e">
        <f t="shared" si="19"/>
        <v>#VALUE!</v>
      </c>
      <c r="J27" s="54">
        <f t="shared" si="19"/>
        <v>2301.5</v>
      </c>
      <c r="K27" s="54">
        <f t="shared" si="19"/>
        <v>2469.1999999999998</v>
      </c>
      <c r="L27" s="54">
        <f t="shared" si="19"/>
        <v>2448.8000000000002</v>
      </c>
      <c r="M27" s="54">
        <f t="shared" si="19"/>
        <v>9609.2000000000007</v>
      </c>
      <c r="N27" s="54">
        <f t="shared" si="19"/>
        <v>2544.1</v>
      </c>
      <c r="O27" s="54">
        <f t="shared" si="19"/>
        <v>2796</v>
      </c>
      <c r="P27" s="54">
        <f t="shared" si="19"/>
        <v>2788.6</v>
      </c>
      <c r="Q27" s="54">
        <f t="shared" si="19"/>
        <v>2834.1999999999989</v>
      </c>
      <c r="R27" s="54">
        <f>SUM(R18+R20+R22+R24+R26)</f>
        <v>10962.9</v>
      </c>
      <c r="S27" s="54">
        <f t="shared" ref="S27:X27" si="20">SUM(S18+S20+S22+S24+S26)</f>
        <v>11485.799928</v>
      </c>
      <c r="T27" s="54">
        <f t="shared" si="20"/>
        <v>12715.969560843771</v>
      </c>
      <c r="U27" s="54">
        <f t="shared" si="20"/>
        <v>13830.158889178036</v>
      </c>
      <c r="V27" s="54">
        <f t="shared" si="20"/>
        <v>15006.314808697254</v>
      </c>
      <c r="W27" s="54">
        <f t="shared" si="20"/>
        <v>16240.018862826235</v>
      </c>
      <c r="X27" s="54">
        <f t="shared" si="20"/>
        <v>17550.570771436924</v>
      </c>
      <c r="Y27" s="1"/>
    </row>
    <row r="28" spans="1:25" s="2" customFormat="1" x14ac:dyDescent="0.3">
      <c r="A28" s="53"/>
      <c r="B28" s="54"/>
      <c r="C28" s="54"/>
      <c r="D28" s="54"/>
      <c r="E28" s="61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1"/>
    </row>
    <row r="29" spans="1:25" x14ac:dyDescent="0.3">
      <c r="A29" s="45" t="s">
        <v>12</v>
      </c>
      <c r="B29" s="51">
        <v>268.3</v>
      </c>
      <c r="C29" s="51">
        <v>249.9</v>
      </c>
      <c r="D29" s="51">
        <v>64.099999999999994</v>
      </c>
      <c r="E29" s="51">
        <v>65.599999999999994</v>
      </c>
      <c r="F29" s="51">
        <v>82.5</v>
      </c>
      <c r="G29" s="51">
        <f>H29-SUM(D29:F29)</f>
        <v>106</v>
      </c>
      <c r="H29" s="51">
        <v>318.2</v>
      </c>
      <c r="I29" s="51">
        <v>84.4</v>
      </c>
      <c r="J29" s="51">
        <v>84.1</v>
      </c>
      <c r="K29" s="51">
        <v>101</v>
      </c>
      <c r="L29" s="51">
        <f>M29-SUM(I29:K29)</f>
        <v>121.89999999999998</v>
      </c>
      <c r="M29" s="51">
        <v>391.4</v>
      </c>
      <c r="N29" s="51">
        <v>89.4</v>
      </c>
      <c r="O29" s="51">
        <v>52.7</v>
      </c>
      <c r="P29" s="51">
        <v>71.400000000000006</v>
      </c>
      <c r="Q29" s="51">
        <f>R29-SUM(N29:P29)</f>
        <v>87.69999999999996</v>
      </c>
      <c r="R29" s="51">
        <v>301.2</v>
      </c>
      <c r="S29" s="60">
        <f>R29*1.01</f>
        <v>304.21199999999999</v>
      </c>
      <c r="T29" s="60">
        <f t="shared" ref="T29:X29" si="21">S29*1.01</f>
        <v>307.25412</v>
      </c>
      <c r="U29" s="60">
        <f t="shared" si="21"/>
        <v>310.32666119999999</v>
      </c>
      <c r="V29" s="60">
        <f t="shared" si="21"/>
        <v>313.42992781200002</v>
      </c>
      <c r="W29" s="60">
        <f t="shared" si="21"/>
        <v>316.56422709012003</v>
      </c>
      <c r="X29" s="60">
        <f t="shared" si="21"/>
        <v>319.72986936102126</v>
      </c>
      <c r="Y29" s="16"/>
    </row>
    <row r="30" spans="1:25" s="2" customFormat="1" x14ac:dyDescent="0.3">
      <c r="A30" s="53" t="s">
        <v>39</v>
      </c>
      <c r="B30" s="54">
        <f t="shared" ref="B30:X30" si="22">B9-B13-B27+B29</f>
        <v>3081.0999999999995</v>
      </c>
      <c r="C30" s="54">
        <f t="shared" si="22"/>
        <v>3601.0000000000014</v>
      </c>
      <c r="D30" s="54">
        <f t="shared" si="22"/>
        <v>1058</v>
      </c>
      <c r="E30" s="54">
        <f t="shared" si="22"/>
        <v>864.19999999999948</v>
      </c>
      <c r="F30" s="54">
        <f t="shared" si="22"/>
        <v>1022.2999999999997</v>
      </c>
      <c r="G30" s="54">
        <f t="shared" si="22"/>
        <v>1227.3999999999969</v>
      </c>
      <c r="H30" s="54">
        <f t="shared" si="22"/>
        <v>4171.8999999999969</v>
      </c>
      <c r="I30" s="54" t="e">
        <f t="shared" si="22"/>
        <v>#VALUE!</v>
      </c>
      <c r="J30" s="54">
        <f t="shared" si="22"/>
        <v>935.4000000000002</v>
      </c>
      <c r="K30" s="54">
        <f t="shared" si="22"/>
        <v>1044.2000000000003</v>
      </c>
      <c r="L30" s="54">
        <f t="shared" si="22"/>
        <v>1022.4999999999976</v>
      </c>
      <c r="M30" s="54">
        <f t="shared" si="22"/>
        <v>4134.6999999999989</v>
      </c>
      <c r="N30" s="54">
        <f t="shared" si="22"/>
        <v>1116.0999999999999</v>
      </c>
      <c r="O30" s="54">
        <f t="shared" si="22"/>
        <v>772.50000000000023</v>
      </c>
      <c r="P30" s="54">
        <f t="shared" si="22"/>
        <v>1038.2000000000003</v>
      </c>
      <c r="Q30" s="54">
        <f t="shared" si="22"/>
        <v>956.50000000000102</v>
      </c>
      <c r="R30" s="54">
        <f t="shared" si="22"/>
        <v>3883.3</v>
      </c>
      <c r="S30" s="54">
        <f t="shared" si="22"/>
        <v>4400.1120720000017</v>
      </c>
      <c r="T30" s="54">
        <f t="shared" si="22"/>
        <v>5089.3937854363103</v>
      </c>
      <c r="U30" s="54">
        <f t="shared" si="22"/>
        <v>5537.2862556198643</v>
      </c>
      <c r="V30" s="54">
        <f t="shared" si="22"/>
        <v>5985.5451013272486</v>
      </c>
      <c r="W30" s="54">
        <f t="shared" si="22"/>
        <v>6421.191929124353</v>
      </c>
      <c r="X30" s="54">
        <f t="shared" si="22"/>
        <v>6868.5252580430897</v>
      </c>
      <c r="Y30" s="1"/>
    </row>
    <row r="31" spans="1:25" s="5" customFormat="1" x14ac:dyDescent="0.3">
      <c r="A31" s="56" t="s">
        <v>41</v>
      </c>
      <c r="B31" s="50">
        <f t="shared" ref="B31:X31" si="23">B30/B9</f>
        <v>0.18732596456668973</v>
      </c>
      <c r="C31" s="50">
        <f t="shared" si="23"/>
        <v>0.18791715154962513</v>
      </c>
      <c r="D31" s="50">
        <f t="shared" si="23"/>
        <v>0.1968921559504978</v>
      </c>
      <c r="E31" s="50">
        <f t="shared" si="23"/>
        <v>0.17307538252022742</v>
      </c>
      <c r="F31" s="50">
        <f t="shared" si="23"/>
        <v>0.19516991218022139</v>
      </c>
      <c r="G31" s="50">
        <f t="shared" si="23"/>
        <v>0.21491105196806232</v>
      </c>
      <c r="H31" s="50">
        <f t="shared" si="23"/>
        <v>0.19571775059931776</v>
      </c>
      <c r="I31" s="50" t="e">
        <f t="shared" si="23"/>
        <v>#VALUE!</v>
      </c>
      <c r="J31" s="50">
        <f t="shared" si="23"/>
        <v>0.17669059312429169</v>
      </c>
      <c r="K31" s="50">
        <f t="shared" si="23"/>
        <v>0.18443875298065887</v>
      </c>
      <c r="L31" s="50">
        <f t="shared" si="23"/>
        <v>0.17943633300575565</v>
      </c>
      <c r="M31" s="50">
        <f t="shared" si="23"/>
        <v>0.18469365876319971</v>
      </c>
      <c r="N31" s="50">
        <f t="shared" si="23"/>
        <v>0.18375948762698191</v>
      </c>
      <c r="O31" s="50">
        <f t="shared" si="23"/>
        <v>0.12807122252064063</v>
      </c>
      <c r="P31" s="50">
        <f t="shared" si="23"/>
        <v>0.16452466602221769</v>
      </c>
      <c r="Q31" s="50">
        <f t="shared" si="23"/>
        <v>0.15173628186620572</v>
      </c>
      <c r="R31" s="50">
        <f t="shared" si="23"/>
        <v>0.15709460142802242</v>
      </c>
      <c r="S31" s="50">
        <f t="shared" si="23"/>
        <v>0.16598809714583196</v>
      </c>
      <c r="T31" s="50">
        <f t="shared" si="23"/>
        <v>0.17409726247035182</v>
      </c>
      <c r="U31" s="50">
        <f t="shared" si="23"/>
        <v>0.17515572677243416</v>
      </c>
      <c r="V31" s="50">
        <f t="shared" si="23"/>
        <v>0.17545836869449422</v>
      </c>
      <c r="W31" s="50">
        <f t="shared" si="23"/>
        <v>0.17486690753277298</v>
      </c>
      <c r="X31" s="50">
        <f t="shared" si="23"/>
        <v>0.17396829000947664</v>
      </c>
      <c r="Y31" s="4"/>
    </row>
    <row r="32" spans="1:25" s="2" customFormat="1" x14ac:dyDescent="0.3">
      <c r="A32" s="53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1"/>
    </row>
    <row r="33" spans="1:25" x14ac:dyDescent="0.3">
      <c r="A33" s="45" t="s">
        <v>13</v>
      </c>
      <c r="B33" s="59">
        <v>0</v>
      </c>
      <c r="C33" s="51">
        <v>390.6</v>
      </c>
      <c r="D33" s="59">
        <v>0</v>
      </c>
      <c r="E33" s="51" t="s">
        <v>20</v>
      </c>
      <c r="F33" s="59">
        <v>0</v>
      </c>
      <c r="G33" s="51">
        <f>H33-SUM(D33:F33)</f>
        <v>0</v>
      </c>
      <c r="H33" s="59">
        <v>0</v>
      </c>
      <c r="I33" s="59" t="s">
        <v>20</v>
      </c>
      <c r="J33" s="59">
        <v>0</v>
      </c>
      <c r="K33" s="59">
        <v>0</v>
      </c>
      <c r="L33" s="51">
        <f>M33-SUM(I33:K33)</f>
        <v>0</v>
      </c>
      <c r="M33" s="59">
        <v>0</v>
      </c>
      <c r="N33" s="51">
        <v>1326.3</v>
      </c>
      <c r="O33" s="51">
        <v>47.6</v>
      </c>
      <c r="P33" s="51">
        <v>2.5</v>
      </c>
      <c r="Q33" s="51">
        <f>R33-SUM(N33:P33)</f>
        <v>0</v>
      </c>
      <c r="R33" s="51">
        <v>1376.4</v>
      </c>
      <c r="S33" s="51">
        <v>0</v>
      </c>
      <c r="T33" s="51">
        <v>0</v>
      </c>
      <c r="U33" s="51">
        <v>0</v>
      </c>
      <c r="V33" s="51">
        <v>0</v>
      </c>
      <c r="W33" s="51">
        <v>0</v>
      </c>
      <c r="X33" s="51">
        <v>0</v>
      </c>
      <c r="Y33" s="16"/>
    </row>
    <row r="34" spans="1:25" x14ac:dyDescent="0.3">
      <c r="A34" s="45" t="s">
        <v>181</v>
      </c>
      <c r="B34" s="59">
        <v>0</v>
      </c>
      <c r="C34" s="51">
        <v>-61.1</v>
      </c>
      <c r="D34" s="59"/>
      <c r="E34" s="51"/>
      <c r="F34" s="59"/>
      <c r="G34" s="51">
        <f>H34-SUM(D34:F34)</f>
        <v>0</v>
      </c>
      <c r="H34" s="59">
        <v>0</v>
      </c>
      <c r="I34" s="59" t="s">
        <v>20</v>
      </c>
      <c r="J34" s="51">
        <v>9.6</v>
      </c>
      <c r="K34" s="59">
        <v>0</v>
      </c>
      <c r="L34" s="51">
        <f>M34-SUM(I34:K34)</f>
        <v>83.9</v>
      </c>
      <c r="M34" s="51">
        <v>93.5</v>
      </c>
      <c r="N34" s="51">
        <v>501.2</v>
      </c>
      <c r="O34" s="51">
        <v>-4.9000000000000004</v>
      </c>
      <c r="P34" s="59">
        <v>0</v>
      </c>
      <c r="Q34" s="51">
        <f>R34-SUM(N34:P34)</f>
        <v>2.8999999999999773</v>
      </c>
      <c r="R34" s="51">
        <v>499.2</v>
      </c>
      <c r="S34" s="60">
        <v>600</v>
      </c>
      <c r="T34" s="60">
        <v>0</v>
      </c>
      <c r="U34" s="60">
        <v>0</v>
      </c>
      <c r="V34" s="60">
        <v>0</v>
      </c>
      <c r="W34" s="60">
        <v>0</v>
      </c>
      <c r="X34" s="60">
        <v>0</v>
      </c>
      <c r="Y34" s="16"/>
    </row>
    <row r="35" spans="1:25" x14ac:dyDescent="0.3">
      <c r="A35" s="45" t="s">
        <v>14</v>
      </c>
      <c r="B35" s="51">
        <v>142.69999999999999</v>
      </c>
      <c r="C35" s="51">
        <v>43</v>
      </c>
      <c r="D35" s="51">
        <v>8.1</v>
      </c>
      <c r="E35" s="51">
        <v>14.5</v>
      </c>
      <c r="F35" s="51">
        <v>72.900000000000006</v>
      </c>
      <c r="G35" s="51">
        <f>H35-SUM(D35:F35)</f>
        <v>12.5</v>
      </c>
      <c r="H35" s="51">
        <v>108</v>
      </c>
      <c r="I35" s="51">
        <v>24.1</v>
      </c>
      <c r="J35" s="51">
        <v>58.3</v>
      </c>
      <c r="K35" s="51">
        <v>31.7</v>
      </c>
      <c r="L35" s="51">
        <f>M35-SUM(I35:K35)</f>
        <v>67.7</v>
      </c>
      <c r="M35" s="51">
        <v>181.8</v>
      </c>
      <c r="N35" s="51">
        <v>88.2</v>
      </c>
      <c r="O35" s="51">
        <v>35.5</v>
      </c>
      <c r="P35" s="51">
        <v>31.5</v>
      </c>
      <c r="Q35" s="51">
        <f>R35-SUM(N35:P35)</f>
        <v>36.200000000000017</v>
      </c>
      <c r="R35" s="51">
        <v>191.4</v>
      </c>
      <c r="S35" s="60">
        <v>191.4</v>
      </c>
      <c r="T35" s="60">
        <v>191.4</v>
      </c>
      <c r="U35" s="60">
        <v>191.4</v>
      </c>
      <c r="V35" s="60">
        <v>191.4</v>
      </c>
      <c r="W35" s="60">
        <v>191.4</v>
      </c>
      <c r="X35" s="60">
        <v>191.4</v>
      </c>
      <c r="Y35" s="16"/>
    </row>
    <row r="36" spans="1:25" x14ac:dyDescent="0.3">
      <c r="A36" s="45" t="s">
        <v>15</v>
      </c>
      <c r="B36" s="51">
        <v>-64.099999999999994</v>
      </c>
      <c r="C36" s="51">
        <v>-70.5</v>
      </c>
      <c r="D36" s="51">
        <v>-16.5</v>
      </c>
      <c r="E36" s="51">
        <v>-18.3</v>
      </c>
      <c r="F36" s="51">
        <v>-21.8</v>
      </c>
      <c r="G36" s="51">
        <f>H36-SUM(D36:F36)</f>
        <v>-24.700000000000003</v>
      </c>
      <c r="H36" s="51">
        <v>-81.3</v>
      </c>
      <c r="I36" s="51">
        <v>-23.8</v>
      </c>
      <c r="J36" s="51">
        <v>-22.9</v>
      </c>
      <c r="K36" s="51">
        <v>-23.5</v>
      </c>
      <c r="L36" s="51">
        <f>M36-SUM(I36:K36)</f>
        <v>-22.299999999999997</v>
      </c>
      <c r="M36" s="51">
        <v>-92.5</v>
      </c>
      <c r="N36" s="51">
        <v>-25.9</v>
      </c>
      <c r="O36" s="51">
        <v>-35.1</v>
      </c>
      <c r="P36" s="51">
        <v>-45.4</v>
      </c>
      <c r="Q36" s="51">
        <f>R36-SUM(N36:P36)</f>
        <v>-63.900000000000006</v>
      </c>
      <c r="R36" s="51">
        <v>-170.3</v>
      </c>
      <c r="S36" s="51">
        <f t="shared" ref="S36:X36" si="24">R36*(1+S37)</f>
        <v>-195.845</v>
      </c>
      <c r="T36" s="51">
        <f t="shared" si="24"/>
        <v>-225.22174999999999</v>
      </c>
      <c r="U36" s="51">
        <f t="shared" si="24"/>
        <v>-259.00501249999996</v>
      </c>
      <c r="V36" s="51">
        <f t="shared" si="24"/>
        <v>-297.85576437499992</v>
      </c>
      <c r="W36" s="51">
        <f t="shared" si="24"/>
        <v>-342.5341290312499</v>
      </c>
      <c r="X36" s="51">
        <f t="shared" si="24"/>
        <v>-393.91424838593736</v>
      </c>
      <c r="Y36" s="16"/>
    </row>
    <row r="37" spans="1:25" s="7" customFormat="1" x14ac:dyDescent="0.3">
      <c r="A37" s="57" t="s">
        <v>124</v>
      </c>
      <c r="B37" s="50"/>
      <c r="C37" s="50">
        <f>C36/B36-1</f>
        <v>9.9843993759750393E-2</v>
      </c>
      <c r="D37" s="50">
        <f t="shared" ref="D37:Q37" si="25">D36/C36-1</f>
        <v>-0.76595744680851063</v>
      </c>
      <c r="E37" s="50">
        <f t="shared" si="25"/>
        <v>0.10909090909090913</v>
      </c>
      <c r="F37" s="50">
        <f t="shared" si="25"/>
        <v>0.19125683060109289</v>
      </c>
      <c r="G37" s="50">
        <f t="shared" si="25"/>
        <v>0.13302752293578002</v>
      </c>
      <c r="H37" s="50">
        <f>H36/C36-1</f>
        <v>0.15319148936170213</v>
      </c>
      <c r="I37" s="50">
        <f t="shared" si="25"/>
        <v>-0.70725707257072568</v>
      </c>
      <c r="J37" s="50">
        <f t="shared" si="25"/>
        <v>-3.7815126050420256E-2</v>
      </c>
      <c r="K37" s="50">
        <f t="shared" si="25"/>
        <v>2.6200873362445476E-2</v>
      </c>
      <c r="L37" s="50">
        <f t="shared" si="25"/>
        <v>-5.1063829787234116E-2</v>
      </c>
      <c r="M37" s="50">
        <f>M36/H36-1</f>
        <v>0.13776137761377627</v>
      </c>
      <c r="N37" s="50">
        <f t="shared" si="25"/>
        <v>-0.72</v>
      </c>
      <c r="O37" s="50">
        <f t="shared" si="25"/>
        <v>0.35521235521235539</v>
      </c>
      <c r="P37" s="50">
        <f t="shared" si="25"/>
        <v>0.29344729344729337</v>
      </c>
      <c r="Q37" s="50">
        <f t="shared" si="25"/>
        <v>0.40748898678414114</v>
      </c>
      <c r="R37" s="50">
        <f>R36/M36-1</f>
        <v>0.84108108108108115</v>
      </c>
      <c r="S37" s="58">
        <v>0.15</v>
      </c>
      <c r="T37" s="58">
        <v>0.15</v>
      </c>
      <c r="U37" s="58">
        <v>0.15</v>
      </c>
      <c r="V37" s="58">
        <v>0.15</v>
      </c>
      <c r="W37" s="58">
        <v>0.15</v>
      </c>
      <c r="X37" s="58">
        <v>0.15</v>
      </c>
      <c r="Y37" s="4"/>
    </row>
    <row r="38" spans="1:25" s="2" customFormat="1" x14ac:dyDescent="0.3">
      <c r="A38" s="53" t="s">
        <v>42</v>
      </c>
      <c r="B38" s="54">
        <f>B33+B34+B35+B36</f>
        <v>78.599999999999994</v>
      </c>
      <c r="C38" s="54">
        <f t="shared" ref="C38:X38" si="26">C33+C34+C35+C36</f>
        <v>302</v>
      </c>
      <c r="D38" s="54">
        <f t="shared" si="26"/>
        <v>-8.4</v>
      </c>
      <c r="E38" s="54" t="e">
        <f t="shared" si="26"/>
        <v>#VALUE!</v>
      </c>
      <c r="F38" s="54">
        <f t="shared" si="26"/>
        <v>51.100000000000009</v>
      </c>
      <c r="G38" s="54">
        <f t="shared" si="26"/>
        <v>-12.200000000000003</v>
      </c>
      <c r="H38" s="54">
        <f t="shared" si="26"/>
        <v>26.700000000000003</v>
      </c>
      <c r="I38" s="54" t="e">
        <f t="shared" si="26"/>
        <v>#VALUE!</v>
      </c>
      <c r="J38" s="54">
        <f t="shared" si="26"/>
        <v>44.999999999999993</v>
      </c>
      <c r="K38" s="54">
        <f t="shared" si="26"/>
        <v>8.1999999999999993</v>
      </c>
      <c r="L38" s="54">
        <f t="shared" si="26"/>
        <v>129.30000000000001</v>
      </c>
      <c r="M38" s="54">
        <f t="shared" si="26"/>
        <v>182.8</v>
      </c>
      <c r="N38" s="54">
        <f t="shared" si="26"/>
        <v>1889.8</v>
      </c>
      <c r="O38" s="54">
        <f t="shared" si="26"/>
        <v>43.1</v>
      </c>
      <c r="P38" s="54">
        <f t="shared" si="26"/>
        <v>-11.399999999999999</v>
      </c>
      <c r="Q38" s="54">
        <f t="shared" si="26"/>
        <v>-24.800000000000011</v>
      </c>
      <c r="R38" s="54">
        <f t="shared" si="26"/>
        <v>1896.7</v>
      </c>
      <c r="S38" s="54">
        <f t="shared" si="26"/>
        <v>595.55499999999995</v>
      </c>
      <c r="T38" s="54">
        <f t="shared" si="26"/>
        <v>-33.82174999999998</v>
      </c>
      <c r="U38" s="54">
        <f t="shared" si="26"/>
        <v>-67.605012499999958</v>
      </c>
      <c r="V38" s="54">
        <f t="shared" si="26"/>
        <v>-106.45576437499992</v>
      </c>
      <c r="W38" s="54">
        <f t="shared" si="26"/>
        <v>-151.1341290312499</v>
      </c>
      <c r="X38" s="54">
        <f t="shared" si="26"/>
        <v>-202.51424838593735</v>
      </c>
      <c r="Y38" s="1"/>
    </row>
    <row r="39" spans="1:25" s="2" customFormat="1" x14ac:dyDescent="0.3">
      <c r="A39" s="53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1"/>
    </row>
    <row r="40" spans="1:25" s="2" customFormat="1" x14ac:dyDescent="0.3">
      <c r="A40" s="53" t="s">
        <v>43</v>
      </c>
      <c r="B40" s="54">
        <f t="shared" ref="B40:X40" si="27">B30+B38</f>
        <v>3159.6999999999994</v>
      </c>
      <c r="C40" s="54">
        <f t="shared" si="27"/>
        <v>3903.0000000000014</v>
      </c>
      <c r="D40" s="54">
        <f t="shared" si="27"/>
        <v>1049.5999999999999</v>
      </c>
      <c r="E40" s="54" t="e">
        <f t="shared" si="27"/>
        <v>#VALUE!</v>
      </c>
      <c r="F40" s="54">
        <f t="shared" si="27"/>
        <v>1073.3999999999996</v>
      </c>
      <c r="G40" s="54">
        <f t="shared" si="27"/>
        <v>1215.1999999999969</v>
      </c>
      <c r="H40" s="54">
        <f t="shared" si="27"/>
        <v>4198.5999999999967</v>
      </c>
      <c r="I40" s="54" t="e">
        <f t="shared" si="27"/>
        <v>#VALUE!</v>
      </c>
      <c r="J40" s="54">
        <f t="shared" si="27"/>
        <v>980.4000000000002</v>
      </c>
      <c r="K40" s="54">
        <f t="shared" si="27"/>
        <v>1052.4000000000003</v>
      </c>
      <c r="L40" s="54">
        <f t="shared" si="27"/>
        <v>1151.7999999999977</v>
      </c>
      <c r="M40" s="54">
        <f t="shared" si="27"/>
        <v>4317.4999999999991</v>
      </c>
      <c r="N40" s="54">
        <f t="shared" si="27"/>
        <v>3005.8999999999996</v>
      </c>
      <c r="O40" s="54">
        <f t="shared" si="27"/>
        <v>815.60000000000025</v>
      </c>
      <c r="P40" s="54">
        <f t="shared" si="27"/>
        <v>1026.8000000000002</v>
      </c>
      <c r="Q40" s="54">
        <f t="shared" si="27"/>
        <v>931.70000000000095</v>
      </c>
      <c r="R40" s="54">
        <f t="shared" si="27"/>
        <v>5780</v>
      </c>
      <c r="S40" s="54">
        <f t="shared" si="27"/>
        <v>4995.667072000002</v>
      </c>
      <c r="T40" s="54">
        <f t="shared" si="27"/>
        <v>5055.5720354363102</v>
      </c>
      <c r="U40" s="54">
        <f t="shared" si="27"/>
        <v>5469.6812431198641</v>
      </c>
      <c r="V40" s="54">
        <f t="shared" si="27"/>
        <v>5879.0893369522491</v>
      </c>
      <c r="W40" s="54">
        <f t="shared" si="27"/>
        <v>6270.0578000931027</v>
      </c>
      <c r="X40" s="54">
        <f t="shared" si="27"/>
        <v>6666.0110096571525</v>
      </c>
      <c r="Y40" s="1"/>
    </row>
    <row r="41" spans="1:25" x14ac:dyDescent="0.3">
      <c r="A41" s="45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13"/>
    </row>
    <row r="42" spans="1:25" s="2" customFormat="1" x14ac:dyDescent="0.3">
      <c r="A42" s="53" t="s">
        <v>44</v>
      </c>
      <c r="B42" s="54">
        <v>1092</v>
      </c>
      <c r="C42" s="54">
        <v>1143.7</v>
      </c>
      <c r="D42" s="54">
        <v>361.9</v>
      </c>
      <c r="E42" s="54">
        <v>285.39999999999998</v>
      </c>
      <c r="F42" s="54">
        <v>318.89999999999998</v>
      </c>
      <c r="G42" s="54">
        <f>H42-SUM(D42:F42)</f>
        <v>413.50000000000011</v>
      </c>
      <c r="H42" s="54">
        <v>1379.7</v>
      </c>
      <c r="I42" s="54">
        <v>381.4</v>
      </c>
      <c r="J42" s="54">
        <v>327.60000000000002</v>
      </c>
      <c r="K42" s="54">
        <v>361.1</v>
      </c>
      <c r="L42" s="54">
        <f>M42-SUM(I42:K42)</f>
        <v>362.5</v>
      </c>
      <c r="M42" s="54">
        <v>1432.6</v>
      </c>
      <c r="N42" s="54">
        <v>755.8</v>
      </c>
      <c r="O42" s="54">
        <v>155.80000000000001</v>
      </c>
      <c r="P42" s="54">
        <v>174.8</v>
      </c>
      <c r="Q42" s="54">
        <f>R42-SUM(N42:P42)</f>
        <v>175.60000000000014</v>
      </c>
      <c r="R42" s="54">
        <v>1262</v>
      </c>
      <c r="S42" s="54">
        <f t="shared" ref="S42:X42" si="28">S43*S40</f>
        <v>999.13341440000045</v>
      </c>
      <c r="T42" s="54">
        <f t="shared" si="28"/>
        <v>1011.1144070872621</v>
      </c>
      <c r="U42" s="54">
        <f t="shared" si="28"/>
        <v>1093.9362486239729</v>
      </c>
      <c r="V42" s="54">
        <f t="shared" si="28"/>
        <v>1175.8178673904499</v>
      </c>
      <c r="W42" s="54">
        <f t="shared" si="28"/>
        <v>1254.0115600186207</v>
      </c>
      <c r="X42" s="54">
        <f t="shared" si="28"/>
        <v>1333.2022019314306</v>
      </c>
      <c r="Y42" s="1"/>
    </row>
    <row r="43" spans="1:25" s="5" customFormat="1" x14ac:dyDescent="0.3">
      <c r="A43" s="56" t="s">
        <v>45</v>
      </c>
      <c r="B43" s="50">
        <f t="shared" ref="B43:R43" si="29">B42/B40</f>
        <v>0.34560243061050105</v>
      </c>
      <c r="C43" s="50">
        <f t="shared" si="29"/>
        <v>0.29303100179349212</v>
      </c>
      <c r="D43" s="50">
        <f t="shared" si="29"/>
        <v>0.34479801829268292</v>
      </c>
      <c r="E43" s="50" t="e">
        <f t="shared" si="29"/>
        <v>#VALUE!</v>
      </c>
      <c r="F43" s="50">
        <f t="shared" si="29"/>
        <v>0.29709334823923989</v>
      </c>
      <c r="G43" s="50">
        <f t="shared" si="29"/>
        <v>0.34027320605661715</v>
      </c>
      <c r="H43" s="50">
        <f t="shared" si="29"/>
        <v>0.32860953651217101</v>
      </c>
      <c r="I43" s="50" t="e">
        <f t="shared" si="29"/>
        <v>#VALUE!</v>
      </c>
      <c r="J43" s="50">
        <f t="shared" si="29"/>
        <v>0.3341493268053855</v>
      </c>
      <c r="K43" s="50">
        <f t="shared" si="29"/>
        <v>0.34312048650703147</v>
      </c>
      <c r="L43" s="50">
        <f t="shared" si="29"/>
        <v>0.31472477860739773</v>
      </c>
      <c r="M43" s="50">
        <f t="shared" si="29"/>
        <v>0.33181239143022589</v>
      </c>
      <c r="N43" s="50">
        <f t="shared" si="29"/>
        <v>0.2514388369539905</v>
      </c>
      <c r="O43" s="50">
        <f t="shared" si="29"/>
        <v>0.19102501226091217</v>
      </c>
      <c r="P43" s="50">
        <f t="shared" si="29"/>
        <v>0.17023763147643162</v>
      </c>
      <c r="Q43" s="50">
        <f t="shared" si="29"/>
        <v>0.18847268434045289</v>
      </c>
      <c r="R43" s="50">
        <f t="shared" si="29"/>
        <v>0.21833910034602075</v>
      </c>
      <c r="S43" s="58">
        <v>0.2</v>
      </c>
      <c r="T43" s="58">
        <v>0.2</v>
      </c>
      <c r="U43" s="58">
        <v>0.2</v>
      </c>
      <c r="V43" s="58">
        <v>0.2</v>
      </c>
      <c r="W43" s="58">
        <v>0.2</v>
      </c>
      <c r="X43" s="58">
        <v>0.2</v>
      </c>
      <c r="Y43" s="4"/>
    </row>
    <row r="44" spans="1:25" s="5" customFormat="1" x14ac:dyDescent="0.3">
      <c r="A44" s="56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4"/>
    </row>
    <row r="45" spans="1:25" s="2" customFormat="1" x14ac:dyDescent="0.3">
      <c r="A45" s="53" t="s">
        <v>46</v>
      </c>
      <c r="B45" s="54">
        <f t="shared" ref="B45:X45" si="30">B40-B42</f>
        <v>2067.6999999999994</v>
      </c>
      <c r="C45" s="54">
        <f t="shared" si="30"/>
        <v>2759.3000000000011</v>
      </c>
      <c r="D45" s="54">
        <f t="shared" si="30"/>
        <v>687.69999999999993</v>
      </c>
      <c r="E45" s="54" t="e">
        <f t="shared" si="30"/>
        <v>#VALUE!</v>
      </c>
      <c r="F45" s="54">
        <f t="shared" si="30"/>
        <v>754.49999999999966</v>
      </c>
      <c r="G45" s="54">
        <f t="shared" si="30"/>
        <v>801.69999999999675</v>
      </c>
      <c r="H45" s="54">
        <f t="shared" si="30"/>
        <v>2818.8999999999969</v>
      </c>
      <c r="I45" s="54" t="e">
        <f t="shared" si="30"/>
        <v>#VALUE!</v>
      </c>
      <c r="J45" s="54">
        <f t="shared" si="30"/>
        <v>652.80000000000018</v>
      </c>
      <c r="K45" s="54">
        <f t="shared" si="30"/>
        <v>691.3000000000003</v>
      </c>
      <c r="L45" s="54">
        <f t="shared" si="30"/>
        <v>789.29999999999768</v>
      </c>
      <c r="M45" s="54">
        <f t="shared" si="30"/>
        <v>2884.8999999999992</v>
      </c>
      <c r="N45" s="54">
        <f t="shared" si="30"/>
        <v>2250.0999999999995</v>
      </c>
      <c r="O45" s="54">
        <f t="shared" si="30"/>
        <v>659.80000000000018</v>
      </c>
      <c r="P45" s="54">
        <f t="shared" si="30"/>
        <v>852.00000000000023</v>
      </c>
      <c r="Q45" s="54">
        <f t="shared" si="30"/>
        <v>756.10000000000082</v>
      </c>
      <c r="R45" s="54">
        <f t="shared" si="30"/>
        <v>4518</v>
      </c>
      <c r="S45" s="54">
        <f t="shared" si="30"/>
        <v>3996.5336576000018</v>
      </c>
      <c r="T45" s="54">
        <f t="shared" si="30"/>
        <v>4044.4576283490483</v>
      </c>
      <c r="U45" s="54">
        <f t="shared" si="30"/>
        <v>4375.7449944958917</v>
      </c>
      <c r="V45" s="54">
        <f t="shared" si="30"/>
        <v>4703.2714695617997</v>
      </c>
      <c r="W45" s="54">
        <f t="shared" si="30"/>
        <v>5016.0462400744818</v>
      </c>
      <c r="X45" s="54">
        <f t="shared" si="30"/>
        <v>5332.8088077257216</v>
      </c>
      <c r="Y45" s="1"/>
    </row>
    <row r="46" spans="1:25" s="5" customFormat="1" x14ac:dyDescent="0.3">
      <c r="A46" s="56" t="s">
        <v>47</v>
      </c>
      <c r="B46" s="62">
        <f t="shared" ref="B46:X46" si="31">B45/B9</f>
        <v>0.12571286129451961</v>
      </c>
      <c r="C46" s="62">
        <f t="shared" si="31"/>
        <v>0.14399327860896435</v>
      </c>
      <c r="D46" s="62">
        <f t="shared" si="31"/>
        <v>0.12797990136782356</v>
      </c>
      <c r="E46" s="62" t="e">
        <f t="shared" si="31"/>
        <v>#VALUE!</v>
      </c>
      <c r="F46" s="62">
        <f t="shared" si="31"/>
        <v>0.14404352806414655</v>
      </c>
      <c r="G46" s="62">
        <f t="shared" si="31"/>
        <v>0.14037330158285424</v>
      </c>
      <c r="H46" s="62">
        <f t="shared" si="31"/>
        <v>0.13224400564836564</v>
      </c>
      <c r="I46" s="62" t="e">
        <f t="shared" si="31"/>
        <v>#VALUE!</v>
      </c>
      <c r="J46" s="62">
        <f t="shared" si="31"/>
        <v>0.12330940687570838</v>
      </c>
      <c r="K46" s="62">
        <f t="shared" si="31"/>
        <v>0.12210544908593134</v>
      </c>
      <c r="L46" s="62">
        <f t="shared" si="31"/>
        <v>0.13851256493050645</v>
      </c>
      <c r="M46" s="62">
        <f t="shared" si="31"/>
        <v>0.12886611753354651</v>
      </c>
      <c r="N46" s="62">
        <f t="shared" si="31"/>
        <v>0.3704661079737227</v>
      </c>
      <c r="O46" s="62">
        <f t="shared" si="31"/>
        <v>0.10938691601180413</v>
      </c>
      <c r="P46" s="62">
        <f t="shared" si="31"/>
        <v>0.13501735258228614</v>
      </c>
      <c r="Q46" s="62">
        <f t="shared" si="31"/>
        <v>0.11994542887510522</v>
      </c>
      <c r="R46" s="62">
        <f t="shared" si="31"/>
        <v>0.18277068710936709</v>
      </c>
      <c r="S46" s="62">
        <f t="shared" si="31"/>
        <v>0.15076366377703845</v>
      </c>
      <c r="T46" s="62">
        <f t="shared" si="31"/>
        <v>0.1383522342656644</v>
      </c>
      <c r="U46" s="62">
        <f t="shared" si="31"/>
        <v>0.13841379320130001</v>
      </c>
      <c r="V46" s="62">
        <f t="shared" si="31"/>
        <v>0.13787020657378085</v>
      </c>
      <c r="W46" s="62">
        <f t="shared" si="31"/>
        <v>0.13660088402977111</v>
      </c>
      <c r="X46" s="62">
        <f t="shared" si="31"/>
        <v>0.13507115346793408</v>
      </c>
      <c r="Y46" s="7"/>
    </row>
    <row r="47" spans="1:25" x14ac:dyDescent="0.3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</row>
    <row r="48" spans="1:25" s="2" customFormat="1" x14ac:dyDescent="0.3">
      <c r="A48" s="53" t="s">
        <v>48</v>
      </c>
      <c r="B48" s="64">
        <f t="shared" ref="B48:X48" si="32">B30+B22</f>
        <v>3790.6999999999994</v>
      </c>
      <c r="C48" s="64">
        <f t="shared" si="32"/>
        <v>4494.9000000000015</v>
      </c>
      <c r="D48" s="64">
        <f t="shared" si="32"/>
        <v>1293.5</v>
      </c>
      <c r="E48" s="64">
        <f t="shared" si="32"/>
        <v>1111.9999999999995</v>
      </c>
      <c r="F48" s="64">
        <f t="shared" si="32"/>
        <v>1269.8999999999996</v>
      </c>
      <c r="G48" s="64">
        <f t="shared" si="32"/>
        <v>1477.299999999997</v>
      </c>
      <c r="H48" s="64">
        <f t="shared" si="32"/>
        <v>5152.6999999999971</v>
      </c>
      <c r="I48" s="64" t="e">
        <f t="shared" si="32"/>
        <v>#VALUE!</v>
      </c>
      <c r="J48" s="64">
        <f t="shared" si="32"/>
        <v>1189.0000000000002</v>
      </c>
      <c r="K48" s="64">
        <f t="shared" si="32"/>
        <v>1296.8000000000002</v>
      </c>
      <c r="L48" s="64">
        <f t="shared" si="32"/>
        <v>1277.9999999999977</v>
      </c>
      <c r="M48" s="64">
        <f t="shared" si="32"/>
        <v>5146.0999999999985</v>
      </c>
      <c r="N48" s="64">
        <f t="shared" si="32"/>
        <v>1374.8999999999999</v>
      </c>
      <c r="O48" s="64">
        <f t="shared" si="32"/>
        <v>1104.1000000000004</v>
      </c>
      <c r="P48" s="64">
        <f t="shared" si="32"/>
        <v>1368.2000000000003</v>
      </c>
      <c r="Q48" s="64">
        <f t="shared" si="32"/>
        <v>1283.1000000000008</v>
      </c>
      <c r="R48" s="64">
        <f t="shared" si="32"/>
        <v>5130.3</v>
      </c>
      <c r="S48" s="64">
        <f t="shared" si="32"/>
        <v>5759.6268000000018</v>
      </c>
      <c r="T48" s="64">
        <f t="shared" si="32"/>
        <v>6638.3386702444532</v>
      </c>
      <c r="U48" s="64">
        <f t="shared" si="32"/>
        <v>7291.0866458551</v>
      </c>
      <c r="V48" s="64">
        <f t="shared" si="32"/>
        <v>7960.4026719363364</v>
      </c>
      <c r="W48" s="64">
        <f t="shared" si="32"/>
        <v>8633.9980303490884</v>
      </c>
      <c r="X48" s="64">
        <f t="shared" si="32"/>
        <v>9337.1713383220231</v>
      </c>
      <c r="Y48" s="8"/>
    </row>
    <row r="49" spans="1:25" s="5" customFormat="1" x14ac:dyDescent="0.3">
      <c r="A49" s="65" t="s">
        <v>49</v>
      </c>
      <c r="B49" s="62">
        <f t="shared" ref="B49:X49" si="33">B48/B9</f>
        <v>0.23046851250623182</v>
      </c>
      <c r="C49" s="62">
        <f t="shared" si="33"/>
        <v>0.2345650665094168</v>
      </c>
      <c r="D49" s="62">
        <f t="shared" si="33"/>
        <v>0.24071834000186099</v>
      </c>
      <c r="E49" s="62">
        <f t="shared" si="33"/>
        <v>0.22270287591123919</v>
      </c>
      <c r="F49" s="62">
        <f t="shared" si="33"/>
        <v>0.24243986254295527</v>
      </c>
      <c r="G49" s="62">
        <f t="shared" si="33"/>
        <v>0.25866718027734936</v>
      </c>
      <c r="H49" s="62">
        <f t="shared" si="33"/>
        <v>0.24173035152163397</v>
      </c>
      <c r="I49" s="62" t="e">
        <f t="shared" si="33"/>
        <v>#VALUE!</v>
      </c>
      <c r="J49" s="62">
        <f t="shared" si="33"/>
        <v>0.22459387986399701</v>
      </c>
      <c r="K49" s="62">
        <f t="shared" si="33"/>
        <v>0.22905590391239075</v>
      </c>
      <c r="L49" s="62">
        <f t="shared" si="33"/>
        <v>0.22427348027516464</v>
      </c>
      <c r="M49" s="62">
        <f t="shared" si="33"/>
        <v>0.2298720674683295</v>
      </c>
      <c r="N49" s="62">
        <f t="shared" si="33"/>
        <v>0.22636942884897179</v>
      </c>
      <c r="O49" s="62">
        <f t="shared" si="33"/>
        <v>0.18304652011008329</v>
      </c>
      <c r="P49" s="62">
        <f t="shared" si="33"/>
        <v>0.21682011948718766</v>
      </c>
      <c r="Q49" s="62">
        <f t="shared" si="33"/>
        <v>0.2035471231181688</v>
      </c>
      <c r="R49" s="62">
        <f t="shared" si="33"/>
        <v>0.20754060559477336</v>
      </c>
      <c r="S49" s="62">
        <f t="shared" si="33"/>
        <v>0.2172738960186506</v>
      </c>
      <c r="T49" s="62">
        <f t="shared" si="33"/>
        <v>0.22708334991640974</v>
      </c>
      <c r="U49" s="62">
        <f t="shared" si="33"/>
        <v>0.23063203191263926</v>
      </c>
      <c r="V49" s="62">
        <f t="shared" si="33"/>
        <v>0.23334871650361982</v>
      </c>
      <c r="W49" s="62">
        <f t="shared" si="33"/>
        <v>0.23512776940419022</v>
      </c>
      <c r="X49" s="62">
        <f t="shared" si="33"/>
        <v>0.23649497821256879</v>
      </c>
      <c r="Y49" s="7"/>
    </row>
  </sheetData>
  <pageMargins left="0.75" right="0.75" top="1" bottom="1" header="0.5" footer="0.5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75"/>
  <sheetViews>
    <sheetView showGridLines="0" zoomScale="143" zoomScaleNormal="143"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A3" sqref="A3"/>
    </sheetView>
    <sheetView showGridLines="0" topLeftCell="A58" zoomScale="67" workbookViewId="1"/>
  </sheetViews>
  <sheetFormatPr defaultColWidth="8.77734375" defaultRowHeight="0" customHeight="1" zeroHeight="1" outlineLevelRow="1" outlineLevelCol="1" x14ac:dyDescent="0.3"/>
  <cols>
    <col min="1" max="1" width="48.44140625" customWidth="1"/>
    <col min="2" max="13" width="12.44140625" customWidth="1"/>
    <col min="14" max="16" width="12.44140625" hidden="1" customWidth="1" outlineLevel="1"/>
    <col min="17" max="17" width="9.21875" collapsed="1"/>
  </cols>
  <sheetData>
    <row r="1" spans="1:16" ht="14.4" x14ac:dyDescent="0.3">
      <c r="A1" s="204" t="s">
        <v>283</v>
      </c>
      <c r="B1" s="43" t="s">
        <v>17</v>
      </c>
      <c r="C1" s="43" t="s">
        <v>18</v>
      </c>
      <c r="D1" s="43" t="s">
        <v>19</v>
      </c>
      <c r="E1" s="43" t="s">
        <v>21</v>
      </c>
      <c r="F1" s="43" t="s">
        <v>22</v>
      </c>
      <c r="G1" s="44" t="s">
        <v>117</v>
      </c>
      <c r="H1" s="44" t="s">
        <v>118</v>
      </c>
      <c r="I1" s="44" t="s">
        <v>119</v>
      </c>
      <c r="J1" s="44" t="s">
        <v>120</v>
      </c>
      <c r="K1" s="44" t="s">
        <v>121</v>
      </c>
      <c r="L1" s="44" t="s">
        <v>122</v>
      </c>
      <c r="M1" s="157"/>
      <c r="N1" s="157" t="s">
        <v>111</v>
      </c>
      <c r="O1" s="157" t="s">
        <v>112</v>
      </c>
      <c r="P1" s="157" t="s">
        <v>113</v>
      </c>
    </row>
    <row r="2" spans="1:16" ht="14.4" x14ac:dyDescent="0.3">
      <c r="A2" s="66" t="s">
        <v>50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11"/>
      <c r="N2" s="14"/>
      <c r="O2" s="14"/>
      <c r="P2" s="14"/>
    </row>
    <row r="3" spans="1:16" ht="14.4" x14ac:dyDescent="0.3">
      <c r="A3" s="45" t="s">
        <v>51</v>
      </c>
      <c r="B3" s="46"/>
      <c r="C3" s="46"/>
      <c r="D3" s="46"/>
      <c r="E3" s="46"/>
      <c r="F3" s="46"/>
      <c r="G3" s="46"/>
      <c r="H3" s="11"/>
      <c r="I3" s="46"/>
      <c r="J3" s="46"/>
      <c r="K3" s="46"/>
      <c r="L3" s="46"/>
      <c r="N3" s="14"/>
      <c r="O3" s="14"/>
      <c r="P3" s="14"/>
    </row>
    <row r="4" spans="1:16" ht="14.4" x14ac:dyDescent="0.3">
      <c r="A4" s="47" t="s">
        <v>52</v>
      </c>
      <c r="B4" s="48">
        <v>1708.4</v>
      </c>
      <c r="C4" s="48">
        <v>1530.1</v>
      </c>
      <c r="D4" s="48">
        <v>2128.8000000000002</v>
      </c>
      <c r="E4" s="48">
        <v>2462.3000000000002</v>
      </c>
      <c r="F4" s="48">
        <v>8756.2999999999993</v>
      </c>
      <c r="G4" s="48">
        <f>'Cash Flows'!G37</f>
        <v>10183.688555463013</v>
      </c>
      <c r="H4" s="48">
        <f>'Cash Flows'!H37</f>
        <v>11936.663763366179</v>
      </c>
      <c r="I4" s="48">
        <f>'Cash Flows'!I37</f>
        <v>14063.461975501397</v>
      </c>
      <c r="J4" s="48">
        <f>'Cash Flows'!J37</f>
        <v>16490.763784929284</v>
      </c>
      <c r="K4" s="48">
        <f>'Cash Flows'!K37</f>
        <v>19312.151886983756</v>
      </c>
      <c r="L4" s="48">
        <f>'Cash Flows'!L37</f>
        <v>22527.668210231652</v>
      </c>
      <c r="M4" s="12"/>
      <c r="N4" s="15">
        <v>4761.6000000000004</v>
      </c>
      <c r="O4" s="15">
        <v>2055.1</v>
      </c>
      <c r="P4" s="15">
        <v>4763.3</v>
      </c>
    </row>
    <row r="5" spans="1:16" ht="14.4" x14ac:dyDescent="0.3">
      <c r="A5" s="47" t="s">
        <v>53</v>
      </c>
      <c r="B5" s="51">
        <v>135.4</v>
      </c>
      <c r="C5" s="51">
        <v>81.3</v>
      </c>
      <c r="D5" s="51">
        <v>134.4</v>
      </c>
      <c r="E5" s="51">
        <v>228.6</v>
      </c>
      <c r="F5" s="51">
        <v>181.5</v>
      </c>
      <c r="G5" s="51">
        <f>(G6+1)*F5</f>
        <v>185.13</v>
      </c>
      <c r="H5" s="51">
        <f t="shared" ref="H5:L5" si="0">(H6+1)*G5</f>
        <v>188.83259999999999</v>
      </c>
      <c r="I5" s="51">
        <f t="shared" si="0"/>
        <v>192.609252</v>
      </c>
      <c r="J5" s="51">
        <f t="shared" si="0"/>
        <v>196.46143703999999</v>
      </c>
      <c r="K5" s="51">
        <f t="shared" si="0"/>
        <v>200.39066578079999</v>
      </c>
      <c r="L5" s="51">
        <f t="shared" si="0"/>
        <v>204.398479096416</v>
      </c>
      <c r="M5" s="13"/>
      <c r="N5" s="16">
        <v>230.2</v>
      </c>
      <c r="O5" s="16">
        <v>76.599999999999994</v>
      </c>
      <c r="P5" s="16">
        <v>72.099999999999994</v>
      </c>
    </row>
    <row r="6" spans="1:16" ht="14.4" x14ac:dyDescent="0.3">
      <c r="A6" s="67" t="s">
        <v>124</v>
      </c>
      <c r="B6" s="52"/>
      <c r="C6" s="50">
        <f>C5/B5-1</f>
        <v>-0.39955686853766625</v>
      </c>
      <c r="D6" s="50">
        <f>D5/C5-1</f>
        <v>0.65313653136531369</v>
      </c>
      <c r="E6" s="50">
        <f>E5/D5-1</f>
        <v>0.70089285714285698</v>
      </c>
      <c r="F6" s="50">
        <f>F5/E5-1</f>
        <v>-0.20603674540682415</v>
      </c>
      <c r="G6" s="58">
        <v>0.02</v>
      </c>
      <c r="H6" s="58">
        <v>0.02</v>
      </c>
      <c r="I6" s="58">
        <v>0.02</v>
      </c>
      <c r="J6" s="58">
        <v>0.02</v>
      </c>
      <c r="K6" s="58">
        <v>0.02</v>
      </c>
      <c r="L6" s="58">
        <v>0.02</v>
      </c>
      <c r="M6" s="4"/>
      <c r="N6" s="16"/>
      <c r="O6" s="16"/>
      <c r="P6" s="16"/>
    </row>
    <row r="7" spans="1:16" ht="14.4" x14ac:dyDescent="0.3">
      <c r="A7" s="67"/>
      <c r="B7" s="52"/>
      <c r="C7" s="50"/>
      <c r="D7" s="50"/>
      <c r="E7" s="50"/>
      <c r="F7" s="50"/>
      <c r="G7" s="58"/>
      <c r="H7" s="58"/>
      <c r="I7" s="58"/>
      <c r="J7" s="58"/>
      <c r="K7" s="58"/>
      <c r="L7" s="58"/>
      <c r="M7" s="4"/>
      <c r="N7" s="16"/>
      <c r="O7" s="16"/>
      <c r="P7" s="16"/>
    </row>
    <row r="8" spans="1:16" ht="14.4" x14ac:dyDescent="0.3">
      <c r="A8" s="47" t="s">
        <v>54</v>
      </c>
      <c r="B8" s="51">
        <v>631</v>
      </c>
      <c r="C8" s="51">
        <v>719</v>
      </c>
      <c r="D8" s="51">
        <v>768.8</v>
      </c>
      <c r="E8" s="51">
        <v>870.4</v>
      </c>
      <c r="F8" s="51">
        <v>693.1</v>
      </c>
      <c r="G8" s="51">
        <f>'Income Statement'!S9/(365/'Balance Sheet'!G9)</f>
        <v>929.61665753424666</v>
      </c>
      <c r="H8" s="51">
        <f>'Income Statement'!T9/(365/'Balance Sheet'!H9)</f>
        <v>1025.1589747777095</v>
      </c>
      <c r="I8" s="51">
        <f>'Income Statement'!U9/(365/'Balance Sheet'!I9)</f>
        <v>1108.6379458256317</v>
      </c>
      <c r="J8" s="51">
        <f>'Income Statement'!V9/(365/'Balance Sheet'!J9)</f>
        <v>1196.3182431867499</v>
      </c>
      <c r="K8" s="51">
        <f>'Income Statement'!W9/(365/'Balance Sheet'!K9)</f>
        <v>1287.7309284121006</v>
      </c>
      <c r="L8" s="51">
        <f>'Income Statement'!X9/(365/'Balance Sheet'!L9)</f>
        <v>1298.0212027102912</v>
      </c>
      <c r="M8" s="13"/>
      <c r="N8" s="16">
        <v>721.4</v>
      </c>
      <c r="O8" s="16">
        <v>703.6</v>
      </c>
      <c r="P8" s="16">
        <v>790.6</v>
      </c>
    </row>
    <row r="9" spans="1:16" ht="14.4" x14ac:dyDescent="0.3">
      <c r="A9" s="67" t="s">
        <v>127</v>
      </c>
      <c r="B9" s="51"/>
      <c r="C9" s="51">
        <f>365/('Income Statement'!C9/AVERAGE(B8,C8))</f>
        <v>12.85700866788083</v>
      </c>
      <c r="D9" s="51">
        <f>365/('Income Statement'!H9/AVERAGE(C8,D8))</f>
        <v>12.738073456903063</v>
      </c>
      <c r="E9" s="51">
        <f>365/('Income Statement'!M9/AVERAGE(D8,E8))</f>
        <v>13.362963889434845</v>
      </c>
      <c r="F9" s="51">
        <f>365/('Income Statement'!R9/AVERAGE(E8,F8))</f>
        <v>11.543063168753413</v>
      </c>
      <c r="G9" s="60">
        <v>12.8</v>
      </c>
      <c r="H9" s="60">
        <v>12.8</v>
      </c>
      <c r="I9" s="60">
        <v>12.8</v>
      </c>
      <c r="J9" s="60">
        <v>12.8</v>
      </c>
      <c r="K9" s="60">
        <v>12.8</v>
      </c>
      <c r="L9" s="60">
        <v>12</v>
      </c>
      <c r="M9" s="13"/>
      <c r="N9" s="16"/>
      <c r="O9" s="16"/>
      <c r="P9" s="16"/>
    </row>
    <row r="10" spans="1:16" ht="14.4" x14ac:dyDescent="0.3">
      <c r="A10" s="47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13"/>
      <c r="N10" s="16"/>
      <c r="O10" s="16"/>
      <c r="P10" s="16"/>
    </row>
    <row r="11" spans="1:16" ht="14.4" x14ac:dyDescent="0.3">
      <c r="A11" s="47" t="s">
        <v>55</v>
      </c>
      <c r="B11" s="51">
        <v>1090.9000000000001</v>
      </c>
      <c r="C11" s="51">
        <v>1306.4000000000001</v>
      </c>
      <c r="D11" s="51">
        <v>1378.5</v>
      </c>
      <c r="E11" s="51">
        <v>1364</v>
      </c>
      <c r="F11" s="51">
        <v>1400.5</v>
      </c>
      <c r="G11" s="51">
        <f>'Income Statement'!S12/'Balance Sheet'!G12</f>
        <v>1496.8356164383561</v>
      </c>
      <c r="H11" s="51">
        <f>'Income Statement'!T12/'Balance Sheet'!H12</f>
        <v>1578.5905136871186</v>
      </c>
      <c r="I11" s="51">
        <f>'Income Statement'!U12/'Balance Sheet'!I12</f>
        <v>1668.4512160446645</v>
      </c>
      <c r="J11" s="51">
        <f>'Income Statement'!V12/'Balance Sheet'!J12</f>
        <v>1803.6473661282837</v>
      </c>
      <c r="K11" s="51">
        <f>'Income Statement'!W12/'Balance Sheet'!K12</f>
        <v>1886.5783358402639</v>
      </c>
      <c r="L11" s="51">
        <f>'Income Statement'!X12/'Balance Sheet'!L12</f>
        <v>2010.2102647797751</v>
      </c>
      <c r="M11" s="13"/>
      <c r="N11" s="16">
        <v>1354.6</v>
      </c>
      <c r="O11" s="16">
        <v>1443</v>
      </c>
      <c r="P11" s="16">
        <v>1517.2</v>
      </c>
    </row>
    <row r="12" spans="1:16" ht="14.4" x14ac:dyDescent="0.3">
      <c r="A12" s="67" t="s">
        <v>126</v>
      </c>
      <c r="B12" s="51">
        <f>'Income Statement'!B12/AVERAGE('Balance Sheet'!B11)</f>
        <v>6.287285727381061</v>
      </c>
      <c r="C12" s="51">
        <f>'Income Statement'!C12/AVERAGE('Balance Sheet'!C11,B11)</f>
        <v>6.4968923372126968</v>
      </c>
      <c r="D12" s="51">
        <f>'Income Statement'!H12/AVERAGE('Balance Sheet'!D11,C11)</f>
        <v>6.3399754180788861</v>
      </c>
      <c r="E12" s="51">
        <f>'Income Statement'!M12/AVERAGE('Balance Sheet'!E11,D11)</f>
        <v>6.5883682771194163</v>
      </c>
      <c r="F12" s="51">
        <f>'Income Statement'!R12/AVERAGE('Balance Sheet'!F11,E11)</f>
        <v>7.3608247422680408</v>
      </c>
      <c r="G12" s="51">
        <f t="shared" ref="G12:L12" si="1">365/G13</f>
        <v>7.3</v>
      </c>
      <c r="H12" s="51">
        <f t="shared" si="1"/>
        <v>7.4338085539714864</v>
      </c>
      <c r="I12" s="51">
        <f t="shared" si="1"/>
        <v>7.5257731958762886</v>
      </c>
      <c r="J12" s="51">
        <f t="shared" si="1"/>
        <v>7.4489795918367347</v>
      </c>
      <c r="K12" s="51">
        <f t="shared" si="1"/>
        <v>7.620041753653445</v>
      </c>
      <c r="L12" s="51">
        <f t="shared" si="1"/>
        <v>7.6519916142557651</v>
      </c>
      <c r="M12" s="13"/>
      <c r="N12" s="16"/>
      <c r="O12" s="16"/>
      <c r="P12" s="16"/>
    </row>
    <row r="13" spans="1:16" ht="14.4" x14ac:dyDescent="0.3">
      <c r="A13" s="67" t="s">
        <v>125</v>
      </c>
      <c r="B13" s="51">
        <f>365/B12</f>
        <v>58.053668280165631</v>
      </c>
      <c r="C13" s="51">
        <f>365/C12</f>
        <v>56.18070626003211</v>
      </c>
      <c r="D13" s="51">
        <f>365/D12</f>
        <v>57.571201137338292</v>
      </c>
      <c r="E13" s="51">
        <f>365/E12</f>
        <v>55.400667456250069</v>
      </c>
      <c r="F13" s="51">
        <f>365/F12</f>
        <v>49.586834733893561</v>
      </c>
      <c r="G13" s="60">
        <v>50</v>
      </c>
      <c r="H13" s="60">
        <v>49.1</v>
      </c>
      <c r="I13" s="60">
        <v>48.5</v>
      </c>
      <c r="J13" s="60">
        <v>49</v>
      </c>
      <c r="K13" s="60">
        <v>47.9</v>
      </c>
      <c r="L13" s="60">
        <v>47.7</v>
      </c>
      <c r="M13" s="13"/>
      <c r="N13" s="16"/>
      <c r="O13" s="16"/>
      <c r="P13" s="16"/>
    </row>
    <row r="14" spans="1:16" ht="14.4" x14ac:dyDescent="0.3">
      <c r="A14" s="47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13"/>
      <c r="N14" s="16"/>
      <c r="O14" s="16"/>
      <c r="P14" s="16"/>
    </row>
    <row r="15" spans="1:16" s="32" customFormat="1" ht="14.4" x14ac:dyDescent="0.3">
      <c r="A15" s="163" t="s">
        <v>56</v>
      </c>
      <c r="B15" s="51">
        <v>285.60000000000002</v>
      </c>
      <c r="C15" s="51">
        <v>334.2</v>
      </c>
      <c r="D15" s="51">
        <v>350</v>
      </c>
      <c r="E15" s="51">
        <v>358.1</v>
      </c>
      <c r="F15" s="51">
        <v>1462.8</v>
      </c>
      <c r="G15" s="51">
        <f>'Income Statement'!S9*'Balance Sheet'!G16</f>
        <v>1590.5160000000001</v>
      </c>
      <c r="H15" s="51">
        <f>'Income Statement'!T9*'Balance Sheet'!H16</f>
        <v>1753.9829334087376</v>
      </c>
      <c r="I15" s="51">
        <f>'Income Statement'!U9*'Balance Sheet'!I16</f>
        <v>1896.8102354360419</v>
      </c>
      <c r="J15" s="51">
        <f>'Income Statement'!V9*'Balance Sheet'!J16</f>
        <v>2046.8257442023298</v>
      </c>
      <c r="K15" s="51">
        <f>'Income Statement'!W9*'Balance Sheet'!K16</f>
        <v>2203.2271353300785</v>
      </c>
      <c r="L15" s="51">
        <f>'Income Statement'!X9*'Balance Sheet'!L16</f>
        <v>2368.8886949462817</v>
      </c>
      <c r="M15" s="13"/>
      <c r="N15" s="13">
        <v>608.5</v>
      </c>
      <c r="O15" s="13">
        <v>674</v>
      </c>
      <c r="P15" s="13">
        <v>591.6</v>
      </c>
    </row>
    <row r="16" spans="1:16" s="203" customFormat="1" ht="14.4" x14ac:dyDescent="0.3">
      <c r="A16" s="164" t="s">
        <v>123</v>
      </c>
      <c r="B16" s="50">
        <f>B15/'Income Statement'!B9</f>
        <v>1.7364024368000587E-2</v>
      </c>
      <c r="C16" s="50">
        <f>C15/'Income Statement'!C9</f>
        <v>1.7440131087999081E-2</v>
      </c>
      <c r="D16" s="50">
        <f>D15/'Income Statement'!H9</f>
        <v>1.6419667947400768E-2</v>
      </c>
      <c r="E16" s="50">
        <f>E15/'Income Statement'!M9</f>
        <v>1.5996033376811335E-2</v>
      </c>
      <c r="F16" s="50">
        <f>F15/'Income Statement'!R9</f>
        <v>5.9175954206193489E-2</v>
      </c>
      <c r="G16" s="165">
        <v>0.06</v>
      </c>
      <c r="H16" s="165">
        <v>0.06</v>
      </c>
      <c r="I16" s="165">
        <v>0.06</v>
      </c>
      <c r="J16" s="165">
        <v>0.06</v>
      </c>
      <c r="K16" s="165">
        <v>0.06</v>
      </c>
      <c r="L16" s="165">
        <v>0.06</v>
      </c>
      <c r="M16" s="6"/>
      <c r="N16" s="6"/>
      <c r="O16" s="6"/>
      <c r="P16" s="6"/>
    </row>
    <row r="17" spans="1:16" ht="14.4" x14ac:dyDescent="0.3">
      <c r="A17" s="47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13"/>
      <c r="N17" s="16"/>
      <c r="O17" s="16"/>
      <c r="P17" s="16"/>
    </row>
    <row r="18" spans="1:16" s="2" customFormat="1" ht="14.4" x14ac:dyDescent="0.3">
      <c r="A18" s="68" t="s">
        <v>57</v>
      </c>
      <c r="B18" s="69">
        <f t="shared" ref="B18:L18" si="2">B4+B5+B8+B11++B15+B17</f>
        <v>3851.3</v>
      </c>
      <c r="C18" s="69">
        <f t="shared" si="2"/>
        <v>3970.9999999999995</v>
      </c>
      <c r="D18" s="69">
        <f t="shared" si="2"/>
        <v>4760.5</v>
      </c>
      <c r="E18" s="69">
        <f t="shared" si="2"/>
        <v>5283.4000000000005</v>
      </c>
      <c r="F18" s="69">
        <f t="shared" si="2"/>
        <v>12494.199999999999</v>
      </c>
      <c r="G18" s="69">
        <f t="shared" si="2"/>
        <v>14385.786829435616</v>
      </c>
      <c r="H18" s="69">
        <f t="shared" si="2"/>
        <v>16483.228785239746</v>
      </c>
      <c r="I18" s="69">
        <f t="shared" si="2"/>
        <v>18929.970624807735</v>
      </c>
      <c r="J18" s="69">
        <f t="shared" si="2"/>
        <v>21734.01657548665</v>
      </c>
      <c r="K18" s="69">
        <f t="shared" si="2"/>
        <v>24890.078952346998</v>
      </c>
      <c r="L18" s="69">
        <f t="shared" si="2"/>
        <v>28409.186851764418</v>
      </c>
      <c r="M18" s="1"/>
      <c r="N18" s="1">
        <f>SUM(N4:N17)</f>
        <v>7676.2999999999993</v>
      </c>
      <c r="O18" s="1">
        <f>SUM(O4:O17)</f>
        <v>4952.2999999999993</v>
      </c>
      <c r="P18" s="1">
        <f>SUM(P4:P17)</f>
        <v>7734.8000000000011</v>
      </c>
    </row>
    <row r="19" spans="1:16" ht="14.4" x14ac:dyDescent="0.3">
      <c r="A19" s="45" t="s">
        <v>58</v>
      </c>
      <c r="B19" s="51">
        <v>318.39999999999998</v>
      </c>
      <c r="C19" s="51">
        <v>312.5</v>
      </c>
      <c r="D19" s="51">
        <v>1141.7</v>
      </c>
      <c r="E19" s="51">
        <v>542.29999999999995</v>
      </c>
      <c r="F19" s="51">
        <v>267.7</v>
      </c>
      <c r="G19" s="60">
        <v>267.7</v>
      </c>
      <c r="H19" s="60">
        <v>267.7</v>
      </c>
      <c r="I19" s="60">
        <v>267.7</v>
      </c>
      <c r="J19" s="60">
        <v>267.7</v>
      </c>
      <c r="K19" s="60">
        <v>267.7</v>
      </c>
      <c r="L19" s="60">
        <v>267.7</v>
      </c>
      <c r="M19" s="13"/>
      <c r="N19" s="16">
        <v>265</v>
      </c>
      <c r="O19" s="16">
        <v>251.9</v>
      </c>
      <c r="P19" s="16">
        <v>222.6</v>
      </c>
    </row>
    <row r="20" spans="1:16" ht="14.4" x14ac:dyDescent="0.3">
      <c r="A20" s="45" t="s">
        <v>59</v>
      </c>
      <c r="B20" s="51">
        <v>514.9</v>
      </c>
      <c r="C20" s="51">
        <v>352</v>
      </c>
      <c r="D20" s="51">
        <v>354.5</v>
      </c>
      <c r="E20" s="51">
        <v>481.6</v>
      </c>
      <c r="F20" s="51">
        <v>334.7</v>
      </c>
      <c r="G20" s="60">
        <v>334.7</v>
      </c>
      <c r="H20" s="60">
        <v>334.7</v>
      </c>
      <c r="I20" s="60">
        <v>334.7</v>
      </c>
      <c r="J20" s="60">
        <v>334.7</v>
      </c>
      <c r="K20" s="60">
        <v>334.7</v>
      </c>
      <c r="L20" s="60">
        <v>334.7</v>
      </c>
      <c r="M20" s="13"/>
      <c r="N20" s="16">
        <v>336.1</v>
      </c>
      <c r="O20" s="16">
        <v>309.3</v>
      </c>
      <c r="P20" s="16">
        <v>340.3</v>
      </c>
    </row>
    <row r="21" spans="1:16" ht="14.4" x14ac:dyDescent="0.3">
      <c r="A21" s="45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13"/>
      <c r="N21" s="16"/>
      <c r="O21" s="16"/>
      <c r="P21" s="16"/>
    </row>
    <row r="22" spans="1:16" ht="14.4" x14ac:dyDescent="0.3">
      <c r="A22" s="45" t="s">
        <v>129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13"/>
      <c r="N22" s="16"/>
      <c r="O22" s="16"/>
      <c r="P22" s="16"/>
    </row>
    <row r="23" spans="1:16" ht="14.4" x14ac:dyDescent="0.3">
      <c r="A23" s="45" t="s">
        <v>213</v>
      </c>
      <c r="B23" s="51">
        <v>8581.1</v>
      </c>
      <c r="C23" s="51">
        <v>9641.7999999999993</v>
      </c>
      <c r="D23" s="51">
        <v>10573.3</v>
      </c>
      <c r="E23" s="51">
        <v>11584</v>
      </c>
      <c r="F23" s="51">
        <v>13197.1</v>
      </c>
      <c r="G23" s="51">
        <f>F23+G24</f>
        <v>15105.7192</v>
      </c>
      <c r="H23" s="51">
        <f t="shared" ref="H23:L23" si="3">G23+H24</f>
        <v>17210.498720090483</v>
      </c>
      <c r="I23" s="51">
        <f t="shared" si="3"/>
        <v>19486.671002613733</v>
      </c>
      <c r="J23" s="51">
        <f t="shared" si="3"/>
        <v>21942.86189565653</v>
      </c>
      <c r="K23" s="51">
        <f t="shared" si="3"/>
        <v>24586.734458052622</v>
      </c>
      <c r="L23" s="51">
        <f t="shared" si="3"/>
        <v>27429.40089198816</v>
      </c>
      <c r="M23" s="13"/>
      <c r="N23" s="16">
        <v>6039.3</v>
      </c>
      <c r="O23" s="16">
        <v>6135.5</v>
      </c>
      <c r="P23" s="16">
        <v>6187.8</v>
      </c>
    </row>
    <row r="24" spans="1:16" s="5" customFormat="1" ht="14.4" x14ac:dyDescent="0.3">
      <c r="A24" s="47" t="s">
        <v>214</v>
      </c>
      <c r="B24" s="51">
        <f>-'Cash Flows'!B26</f>
        <v>1160.9000000000001</v>
      </c>
      <c r="C24" s="51">
        <f>-'Cash Flows'!C26</f>
        <v>1303.7</v>
      </c>
      <c r="D24" s="51">
        <f>-'Cash Flows'!D26</f>
        <v>1440.3</v>
      </c>
      <c r="E24" s="51">
        <f>-'Cash Flows'!E26</f>
        <v>1519.4</v>
      </c>
      <c r="F24" s="51">
        <f>-'Cash Flows'!F26</f>
        <v>1976.4</v>
      </c>
      <c r="G24" s="51">
        <f>'Income Statement'!S9*'Balance Sheet'!G25</f>
        <v>1908.6192000000001</v>
      </c>
      <c r="H24" s="51">
        <f>'Income Statement'!T9*'Balance Sheet'!H25</f>
        <v>2104.7795200904848</v>
      </c>
      <c r="I24" s="51">
        <f>'Income Statement'!U9*'Balance Sheet'!I25</f>
        <v>2276.17228252325</v>
      </c>
      <c r="J24" s="51">
        <f>'Income Statement'!V9*'Balance Sheet'!J25</f>
        <v>2456.1908930427958</v>
      </c>
      <c r="K24" s="51">
        <f>'Income Statement'!W9*'Balance Sheet'!K25</f>
        <v>2643.8725623960941</v>
      </c>
      <c r="L24" s="51">
        <f>'Income Statement'!X9*'Balance Sheet'!L25</f>
        <v>2842.6664339355375</v>
      </c>
      <c r="M24" s="6"/>
      <c r="N24" s="6"/>
      <c r="O24" s="6"/>
      <c r="P24" s="6"/>
    </row>
    <row r="25" spans="1:16" ht="14.4" x14ac:dyDescent="0.3">
      <c r="A25" s="49" t="s">
        <v>123</v>
      </c>
      <c r="B25" s="50">
        <f>B24/'Income Statement'!B9</f>
        <v>7.058086795802479E-2</v>
      </c>
      <c r="C25" s="50">
        <f>C24/'Income Statement'!C9</f>
        <v>6.8033210351359674E-2</v>
      </c>
      <c r="D25" s="50">
        <f>D24/'Income Statement'!H9</f>
        <v>6.7569279270403793E-2</v>
      </c>
      <c r="E25" s="50">
        <f>E24/'Income Statement'!M9</f>
        <v>6.7870352171815543E-2</v>
      </c>
      <c r="F25" s="50">
        <f>F24/'Income Statement'!R9</f>
        <v>7.9953073484496054E-2</v>
      </c>
      <c r="G25" s="58">
        <v>7.1999999999999995E-2</v>
      </c>
      <c r="H25" s="58">
        <v>7.1999999999999995E-2</v>
      </c>
      <c r="I25" s="58">
        <v>7.1999999999999995E-2</v>
      </c>
      <c r="J25" s="58">
        <v>7.1999999999999995E-2</v>
      </c>
      <c r="K25" s="58">
        <v>7.1999999999999995E-2</v>
      </c>
      <c r="L25" s="58">
        <v>7.1999999999999995E-2</v>
      </c>
      <c r="M25" s="13"/>
      <c r="N25" s="16"/>
      <c r="O25" s="16"/>
      <c r="P25" s="16"/>
    </row>
    <row r="26" spans="1:16" ht="14.4" x14ac:dyDescent="0.3">
      <c r="A26" s="47" t="s">
        <v>132</v>
      </c>
      <c r="B26" s="51">
        <f>'Income Statement'!B22</f>
        <v>709.6</v>
      </c>
      <c r="C26" s="51">
        <f>'Income Statement'!C22</f>
        <v>893.9</v>
      </c>
      <c r="D26" s="51">
        <f>'Income Statement'!H22</f>
        <v>980.8</v>
      </c>
      <c r="E26" s="51">
        <f>'Income Statement'!M22</f>
        <v>1011.4</v>
      </c>
      <c r="F26" s="51">
        <f>'Income Statement'!R22</f>
        <v>1247</v>
      </c>
      <c r="G26" s="51">
        <f>G23*G27</f>
        <v>1359.5147279999999</v>
      </c>
      <c r="H26" s="51">
        <f t="shared" ref="H26:L26" si="4">H23*H27</f>
        <v>1548.9448848081433</v>
      </c>
      <c r="I26" s="51">
        <f t="shared" si="4"/>
        <v>1753.8003902352359</v>
      </c>
      <c r="J26" s="51">
        <f t="shared" si="4"/>
        <v>1974.8575706090876</v>
      </c>
      <c r="K26" s="51">
        <f t="shared" si="4"/>
        <v>2212.8061012247358</v>
      </c>
      <c r="L26" s="51">
        <f t="shared" si="4"/>
        <v>2468.6460802789343</v>
      </c>
      <c r="M26" s="13"/>
      <c r="N26" s="16"/>
      <c r="O26" s="16"/>
      <c r="P26" s="16"/>
    </row>
    <row r="27" spans="1:16" s="5" customFormat="1" ht="14.4" x14ac:dyDescent="0.3">
      <c r="A27" s="49" t="s">
        <v>215</v>
      </c>
      <c r="B27" s="50">
        <f>B26/B23</f>
        <v>8.2693360991015138E-2</v>
      </c>
      <c r="C27" s="50">
        <f>C26/C23</f>
        <v>9.2710904602874983E-2</v>
      </c>
      <c r="D27" s="50">
        <f>D26/D23</f>
        <v>9.2761957004908593E-2</v>
      </c>
      <c r="E27" s="50">
        <f>E26/E23</f>
        <v>8.7310082872928171E-2</v>
      </c>
      <c r="F27" s="50">
        <f>F26/F23</f>
        <v>9.4490456236597437E-2</v>
      </c>
      <c r="G27" s="58">
        <v>0.09</v>
      </c>
      <c r="H27" s="58">
        <v>0.09</v>
      </c>
      <c r="I27" s="58">
        <v>0.09</v>
      </c>
      <c r="J27" s="58">
        <v>0.09</v>
      </c>
      <c r="K27" s="58">
        <v>0.09</v>
      </c>
      <c r="L27" s="58">
        <v>0.09</v>
      </c>
      <c r="M27" s="6"/>
      <c r="N27" s="6"/>
      <c r="O27" s="6"/>
      <c r="P27" s="6"/>
    </row>
    <row r="28" spans="1:16" ht="14.4" x14ac:dyDescent="0.3">
      <c r="A28" s="47" t="s">
        <v>130</v>
      </c>
      <c r="B28" s="51">
        <v>5062.1000000000004</v>
      </c>
      <c r="C28" s="51">
        <v>5553.5</v>
      </c>
      <c r="D28" s="51">
        <v>6039.5</v>
      </c>
      <c r="E28" s="51">
        <v>6664.5</v>
      </c>
      <c r="F28" s="51">
        <v>7268</v>
      </c>
      <c r="G28" s="51">
        <f>F28+G26</f>
        <v>8627.5147280000001</v>
      </c>
      <c r="H28" s="51">
        <f t="shared" ref="H28:L28" si="5">G28+H26</f>
        <v>10176.459612808143</v>
      </c>
      <c r="I28" s="51">
        <f t="shared" si="5"/>
        <v>11930.260003043379</v>
      </c>
      <c r="J28" s="51">
        <f t="shared" si="5"/>
        <v>13905.117573652466</v>
      </c>
      <c r="K28" s="51">
        <f t="shared" si="5"/>
        <v>16117.923674877202</v>
      </c>
      <c r="L28" s="51">
        <f t="shared" si="5"/>
        <v>18586.569755156135</v>
      </c>
      <c r="M28" s="13"/>
      <c r="N28" s="16"/>
      <c r="O28" s="16"/>
      <c r="P28" s="16"/>
    </row>
    <row r="29" spans="1:16" ht="14.4" x14ac:dyDescent="0.3">
      <c r="A29" s="45" t="s">
        <v>131</v>
      </c>
      <c r="B29" s="51">
        <f t="shared" ref="B29:L29" si="6">B23-B28</f>
        <v>3519</v>
      </c>
      <c r="C29" s="51">
        <f t="shared" si="6"/>
        <v>4088.2999999999993</v>
      </c>
      <c r="D29" s="51">
        <f t="shared" si="6"/>
        <v>4533.7999999999993</v>
      </c>
      <c r="E29" s="51">
        <f t="shared" si="6"/>
        <v>4919.5</v>
      </c>
      <c r="F29" s="51">
        <f t="shared" si="6"/>
        <v>5929.1</v>
      </c>
      <c r="G29" s="51">
        <f>G23-G28</f>
        <v>6478.2044719999994</v>
      </c>
      <c r="H29" s="51">
        <f t="shared" si="6"/>
        <v>7034.0391072823404</v>
      </c>
      <c r="I29" s="51">
        <f t="shared" si="6"/>
        <v>7556.4109995703548</v>
      </c>
      <c r="J29" s="51">
        <f t="shared" si="6"/>
        <v>8037.7443220040641</v>
      </c>
      <c r="K29" s="51">
        <f t="shared" si="6"/>
        <v>8468.8107831754205</v>
      </c>
      <c r="L29" s="51">
        <f t="shared" si="6"/>
        <v>8842.8311368320246</v>
      </c>
      <c r="M29" s="13"/>
      <c r="N29" s="16"/>
      <c r="O29" s="16"/>
      <c r="P29" s="16"/>
    </row>
    <row r="30" spans="1:16" ht="14.4" x14ac:dyDescent="0.3">
      <c r="A30" s="45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13"/>
      <c r="N30" s="16">
        <v>650</v>
      </c>
      <c r="O30" s="16">
        <v>1006.6</v>
      </c>
      <c r="P30" s="16">
        <v>1533</v>
      </c>
    </row>
    <row r="31" spans="1:16" ht="14.4" x14ac:dyDescent="0.3">
      <c r="A31" s="45" t="s">
        <v>60</v>
      </c>
      <c r="B31" s="51">
        <f>903.3+317.4</f>
        <v>1220.6999999999998</v>
      </c>
      <c r="C31" s="51">
        <v>1180.8</v>
      </c>
      <c r="D31" s="51">
        <v>885.4</v>
      </c>
      <c r="E31" s="51">
        <v>795.4</v>
      </c>
      <c r="F31" s="51">
        <v>134.69999999999999</v>
      </c>
      <c r="G31" s="60">
        <f>F31*1.02</f>
        <v>137.39399999999998</v>
      </c>
      <c r="H31" s="60">
        <f t="shared" ref="H31:L31" si="7">G31*1.02</f>
        <v>140.14187999999999</v>
      </c>
      <c r="I31" s="60">
        <f t="shared" si="7"/>
        <v>142.94471759999999</v>
      </c>
      <c r="J31" s="60">
        <f t="shared" si="7"/>
        <v>145.80361195199998</v>
      </c>
      <c r="K31" s="60">
        <f t="shared" si="7"/>
        <v>148.71968419103999</v>
      </c>
      <c r="L31" s="60">
        <f t="shared" si="7"/>
        <v>151.6940778748608</v>
      </c>
      <c r="M31" s="13"/>
      <c r="N31" s="16">
        <v>472.7</v>
      </c>
      <c r="O31" s="16">
        <v>464.5</v>
      </c>
      <c r="P31" s="16">
        <v>458</v>
      </c>
    </row>
    <row r="32" spans="1:16" ht="14.4" x14ac:dyDescent="0.3">
      <c r="A32" s="45" t="s">
        <v>61</v>
      </c>
      <c r="B32" s="51">
        <v>198.9</v>
      </c>
      <c r="C32" s="51">
        <v>415.9</v>
      </c>
      <c r="D32" s="51">
        <v>417.7</v>
      </c>
      <c r="E32" s="51">
        <v>362.8</v>
      </c>
      <c r="F32" s="51">
        <v>412.2</v>
      </c>
      <c r="G32" s="60">
        <f t="shared" ref="G32:L32" si="8">F32*1.01</f>
        <v>416.322</v>
      </c>
      <c r="H32" s="60">
        <f t="shared" si="8"/>
        <v>420.48522000000003</v>
      </c>
      <c r="I32" s="60">
        <f t="shared" si="8"/>
        <v>424.69007220000003</v>
      </c>
      <c r="J32" s="60">
        <f t="shared" si="8"/>
        <v>428.93697292200005</v>
      </c>
      <c r="K32" s="60">
        <f t="shared" si="8"/>
        <v>433.22634265122008</v>
      </c>
      <c r="L32" s="60">
        <f t="shared" si="8"/>
        <v>437.55860607773229</v>
      </c>
      <c r="M32" s="13"/>
      <c r="N32" s="16">
        <v>981.6</v>
      </c>
      <c r="O32" s="16">
        <v>918.3</v>
      </c>
      <c r="P32" s="16">
        <v>853.2</v>
      </c>
    </row>
    <row r="33" spans="1:16" ht="14.4" x14ac:dyDescent="0.3">
      <c r="A33" s="45" t="s">
        <v>62</v>
      </c>
      <c r="B33" s="51">
        <v>273.5</v>
      </c>
      <c r="C33" s="51">
        <v>520.4</v>
      </c>
      <c r="D33" s="51">
        <v>516.29999999999995</v>
      </c>
      <c r="E33" s="51">
        <v>441.4</v>
      </c>
      <c r="F33" s="51">
        <v>1042.2</v>
      </c>
      <c r="G33" s="60">
        <f t="shared" ref="G33:L33" si="9">F33</f>
        <v>1042.2</v>
      </c>
      <c r="H33" s="60">
        <f t="shared" si="9"/>
        <v>1042.2</v>
      </c>
      <c r="I33" s="60">
        <f t="shared" si="9"/>
        <v>1042.2</v>
      </c>
      <c r="J33" s="60">
        <f t="shared" si="9"/>
        <v>1042.2</v>
      </c>
      <c r="K33" s="60">
        <f t="shared" si="9"/>
        <v>1042.2</v>
      </c>
      <c r="L33" s="60">
        <f t="shared" si="9"/>
        <v>1042.2</v>
      </c>
      <c r="M33" s="13"/>
      <c r="N33" s="16">
        <v>3560.3</v>
      </c>
      <c r="O33" s="16">
        <v>3603.5</v>
      </c>
      <c r="P33" s="16">
        <v>3564.7</v>
      </c>
    </row>
    <row r="34" spans="1:16" s="2" customFormat="1" ht="14.4" x14ac:dyDescent="0.3">
      <c r="A34" s="45" t="s">
        <v>63</v>
      </c>
      <c r="B34" s="51">
        <v>856.2</v>
      </c>
      <c r="C34" s="51">
        <v>1575.4</v>
      </c>
      <c r="D34" s="51">
        <v>1719.6</v>
      </c>
      <c r="E34" s="51">
        <v>1539.2</v>
      </c>
      <c r="F34" s="51">
        <v>3541.6</v>
      </c>
      <c r="G34" s="60">
        <v>3541.6</v>
      </c>
      <c r="H34" s="60">
        <v>3541.6</v>
      </c>
      <c r="I34" s="60">
        <v>3541.6</v>
      </c>
      <c r="J34" s="60">
        <v>3541.6</v>
      </c>
      <c r="K34" s="60">
        <v>3541.6</v>
      </c>
      <c r="L34" s="60">
        <v>3541.6</v>
      </c>
      <c r="M34" s="9"/>
      <c r="N34" s="9">
        <f>SUM(N18:N33)</f>
        <v>19981.3</v>
      </c>
      <c r="O34" s="9">
        <f>SUM(O18:O33)</f>
        <v>17641.900000000001</v>
      </c>
      <c r="P34" s="9">
        <f>SUM(P18:P33)</f>
        <v>20894.400000000001</v>
      </c>
    </row>
    <row r="35" spans="1:16" s="2" customFormat="1" ht="14.4" x14ac:dyDescent="0.3">
      <c r="A35" s="70" t="s">
        <v>64</v>
      </c>
      <c r="B35" s="71">
        <f t="shared" ref="B35:L35" si="10">B18+B19+B20+B29+B31+B32+B33+B34</f>
        <v>10752.9</v>
      </c>
      <c r="C35" s="71">
        <f t="shared" si="10"/>
        <v>12416.299999999997</v>
      </c>
      <c r="D35" s="71">
        <f t="shared" si="10"/>
        <v>14329.5</v>
      </c>
      <c r="E35" s="71">
        <f t="shared" si="10"/>
        <v>14365.6</v>
      </c>
      <c r="F35" s="71">
        <f t="shared" si="10"/>
        <v>24156.400000000001</v>
      </c>
      <c r="G35" s="71">
        <f t="shared" si="10"/>
        <v>26603.907301435614</v>
      </c>
      <c r="H35" s="71">
        <f t="shared" si="10"/>
        <v>29264.094992522085</v>
      </c>
      <c r="I35" s="71">
        <f t="shared" si="10"/>
        <v>32240.216414178089</v>
      </c>
      <c r="J35" s="71">
        <f t="shared" si="10"/>
        <v>35532.701482364719</v>
      </c>
      <c r="K35" s="71">
        <f t="shared" si="10"/>
        <v>39127.035762364678</v>
      </c>
      <c r="L35" s="71">
        <f t="shared" si="10"/>
        <v>43027.470672549032</v>
      </c>
      <c r="M35" s="9"/>
      <c r="N35" s="14"/>
      <c r="O35" s="14"/>
      <c r="P35" s="14"/>
    </row>
    <row r="36" spans="1:16" ht="14.4" x14ac:dyDescent="0.3">
      <c r="A36" s="53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11"/>
      <c r="N36" s="14"/>
      <c r="O36" s="14"/>
      <c r="P36" s="14"/>
    </row>
    <row r="37" spans="1:16" ht="14.4" x14ac:dyDescent="0.3">
      <c r="A37" s="66" t="s">
        <v>65</v>
      </c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11"/>
      <c r="N37" s="14"/>
      <c r="O37" s="14"/>
      <c r="P37" s="14"/>
    </row>
    <row r="38" spans="1:16" ht="14.4" x14ac:dyDescent="0.3">
      <c r="A38" s="45" t="s">
        <v>66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12"/>
      <c r="N38" s="15">
        <v>1100.5</v>
      </c>
      <c r="O38" s="15">
        <v>1096.7</v>
      </c>
      <c r="P38" s="15">
        <v>1145.4000000000001</v>
      </c>
    </row>
    <row r="39" spans="1:16" s="3" customFormat="1" ht="14.4" x14ac:dyDescent="0.3">
      <c r="A39" s="47" t="s">
        <v>67</v>
      </c>
      <c r="B39" s="48">
        <v>533.70000000000005</v>
      </c>
      <c r="C39" s="48">
        <v>684.2</v>
      </c>
      <c r="D39" s="48">
        <v>730.6</v>
      </c>
      <c r="E39" s="48">
        <v>782.5</v>
      </c>
      <c r="F39" s="48">
        <v>1179.3</v>
      </c>
      <c r="G39" s="48">
        <f>'Income Statement'!S12/(365/'Balance Sheet'!G40)</f>
        <v>1077.7216438356163</v>
      </c>
      <c r="H39" s="48">
        <f>'Income Statement'!T12/(365/'Balance Sheet'!H40)</f>
        <v>1157.41870657304</v>
      </c>
      <c r="I39" s="48">
        <f>'Income Statement'!U12/(365/'Balance Sheet'!I40)</f>
        <v>1238.438016033153</v>
      </c>
      <c r="J39" s="48">
        <f>'Income Statement'!V12/(365/'Balance Sheet'!J40)</f>
        <v>1325.1286771554737</v>
      </c>
      <c r="K39" s="48">
        <f>'Income Statement'!W12/(365/'Balance Sheet'!K40)</f>
        <v>1417.887684556357</v>
      </c>
      <c r="L39" s="48">
        <f>'Income Statement'!X12/(365/'Balance Sheet'!L40)</f>
        <v>1517.139822475302</v>
      </c>
      <c r="M39" s="19"/>
      <c r="N39" s="19"/>
      <c r="O39" s="19"/>
      <c r="P39" s="19"/>
    </row>
    <row r="40" spans="1:16" ht="14.4" x14ac:dyDescent="0.3">
      <c r="A40" s="67" t="s">
        <v>128</v>
      </c>
      <c r="B40" s="72"/>
      <c r="C40" s="73">
        <f>365/('Income Statement'!C12/AVERAGE(B39,C39))</f>
        <v>28.541476725521672</v>
      </c>
      <c r="D40" s="73">
        <f>365/('Income Statement'!H12/AVERAGE(C39,D39))</f>
        <v>30.336971719284232</v>
      </c>
      <c r="E40" s="73">
        <f>365/('Income Statement'!M12/AVERAGE(D39,E39))</f>
        <v>30.565815835205829</v>
      </c>
      <c r="F40" s="73">
        <f>365/('Income Statement'!R12/AVERAGE(E39,F39))</f>
        <v>35.188805346700079</v>
      </c>
      <c r="G40" s="74">
        <v>36</v>
      </c>
      <c r="H40" s="74">
        <v>36</v>
      </c>
      <c r="I40" s="74">
        <v>36</v>
      </c>
      <c r="J40" s="74">
        <v>36</v>
      </c>
      <c r="K40" s="74">
        <v>36</v>
      </c>
      <c r="L40" s="74">
        <v>36</v>
      </c>
      <c r="M40" s="12"/>
      <c r="N40" s="15"/>
      <c r="O40" s="15"/>
      <c r="P40" s="15"/>
    </row>
    <row r="41" spans="1:16" ht="14.4" x14ac:dyDescent="0.3">
      <c r="A41" s="47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13"/>
      <c r="N41" s="16">
        <v>2564</v>
      </c>
      <c r="O41" s="16">
        <v>2569.3000000000002</v>
      </c>
      <c r="P41" s="16">
        <v>3238.7</v>
      </c>
    </row>
    <row r="42" spans="1:16" ht="14.4" x14ac:dyDescent="0.3">
      <c r="A42" s="47" t="s">
        <v>68</v>
      </c>
      <c r="B42" s="51">
        <v>1514.4</v>
      </c>
      <c r="C42" s="51">
        <v>1755.3</v>
      </c>
      <c r="D42" s="51">
        <v>1999.1</v>
      </c>
      <c r="E42" s="51">
        <v>1934.5</v>
      </c>
      <c r="F42" s="51">
        <v>2298.4</v>
      </c>
      <c r="G42" s="51">
        <f t="shared" ref="G42:L42" si="11">F42*(1+G43)</f>
        <v>2332.8759999999997</v>
      </c>
      <c r="H42" s="51">
        <f t="shared" si="11"/>
        <v>2367.8691399999993</v>
      </c>
      <c r="I42" s="51">
        <f t="shared" si="11"/>
        <v>2403.387177099999</v>
      </c>
      <c r="J42" s="51">
        <f t="shared" si="11"/>
        <v>2439.4379847564987</v>
      </c>
      <c r="K42" s="51">
        <f t="shared" si="11"/>
        <v>2476.0295545278459</v>
      </c>
      <c r="L42" s="51">
        <f t="shared" si="11"/>
        <v>2513.1699978457632</v>
      </c>
      <c r="M42" s="13"/>
      <c r="N42" s="16"/>
      <c r="O42" s="16"/>
      <c r="P42" s="16"/>
    </row>
    <row r="43" spans="1:16" ht="14.4" x14ac:dyDescent="0.3">
      <c r="A43" s="75" t="s">
        <v>124</v>
      </c>
      <c r="B43" s="51"/>
      <c r="C43" s="50">
        <f>C42/B42-1</f>
        <v>0.15907290015847853</v>
      </c>
      <c r="D43" s="50">
        <f>D42/C42-1</f>
        <v>0.13889363641542762</v>
      </c>
      <c r="E43" s="50">
        <f>E42/D42-1</f>
        <v>-3.2314541543694619E-2</v>
      </c>
      <c r="F43" s="50">
        <f>F42/E42-1</f>
        <v>0.18811062289997427</v>
      </c>
      <c r="G43" s="58">
        <v>1.4999999999999999E-2</v>
      </c>
      <c r="H43" s="58">
        <v>1.4999999999999999E-2</v>
      </c>
      <c r="I43" s="58">
        <v>1.4999999999999999E-2</v>
      </c>
      <c r="J43" s="58">
        <v>1.4999999999999999E-2</v>
      </c>
      <c r="K43" s="58">
        <v>1.4999999999999999E-2</v>
      </c>
      <c r="L43" s="58">
        <v>1.4999999999999999E-2</v>
      </c>
      <c r="M43" s="13"/>
      <c r="N43" s="16">
        <v>208.8</v>
      </c>
      <c r="O43" s="16">
        <v>221</v>
      </c>
      <c r="P43" s="16">
        <v>211.5</v>
      </c>
    </row>
    <row r="44" spans="1:16" ht="14.4" x14ac:dyDescent="0.3">
      <c r="A44" s="47" t="s">
        <v>69</v>
      </c>
      <c r="B44" s="51">
        <v>196.1</v>
      </c>
      <c r="C44" s="51">
        <v>224.8</v>
      </c>
      <c r="D44" s="51">
        <v>246</v>
      </c>
      <c r="E44" s="51">
        <v>215.2</v>
      </c>
      <c r="F44" s="51">
        <v>213.7</v>
      </c>
      <c r="G44" s="60">
        <v>213.7</v>
      </c>
      <c r="H44" s="60">
        <v>213.7</v>
      </c>
      <c r="I44" s="60">
        <v>213.7</v>
      </c>
      <c r="J44" s="60">
        <v>213.7</v>
      </c>
      <c r="K44" s="60">
        <v>213.7</v>
      </c>
      <c r="L44" s="60">
        <v>213.7</v>
      </c>
      <c r="M44" s="13"/>
      <c r="N44" s="16"/>
      <c r="O44" s="16"/>
      <c r="P44" s="16"/>
    </row>
    <row r="45" spans="1:16" ht="14.4" x14ac:dyDescent="0.3">
      <c r="A45" s="47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13"/>
      <c r="N45" s="16">
        <v>1554.2</v>
      </c>
      <c r="O45" s="16">
        <v>1311.4</v>
      </c>
      <c r="P45" s="16">
        <v>1300.2</v>
      </c>
    </row>
    <row r="46" spans="1:16" ht="14.4" x14ac:dyDescent="0.3">
      <c r="A46" s="47" t="s">
        <v>70</v>
      </c>
      <c r="B46" s="51">
        <v>794.5</v>
      </c>
      <c r="C46" s="51">
        <v>983.8</v>
      </c>
      <c r="D46" s="51">
        <v>1171.2</v>
      </c>
      <c r="E46" s="51">
        <v>1288.5</v>
      </c>
      <c r="F46" s="51">
        <v>1642.9</v>
      </c>
      <c r="G46" s="60">
        <v>1642.9</v>
      </c>
      <c r="H46" s="60">
        <v>1642.9</v>
      </c>
      <c r="I46" s="60">
        <v>1642.9</v>
      </c>
      <c r="J46" s="60">
        <v>1642.9</v>
      </c>
      <c r="K46" s="60">
        <v>1642.9</v>
      </c>
      <c r="L46" s="60">
        <v>1642.9</v>
      </c>
      <c r="M46" s="13"/>
      <c r="N46" s="16"/>
      <c r="O46" s="16"/>
      <c r="P46" s="16"/>
    </row>
    <row r="47" spans="1:16" ht="14.4" x14ac:dyDescent="0.3">
      <c r="A47" s="47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13"/>
      <c r="N47" s="16"/>
      <c r="O47" s="16">
        <v>75</v>
      </c>
      <c r="P47" s="16"/>
    </row>
    <row r="48" spans="1:16" s="2" customFormat="1" ht="14.4" hidden="1" x14ac:dyDescent="0.3">
      <c r="A48" s="47" t="s">
        <v>86</v>
      </c>
      <c r="B48" s="51">
        <v>0</v>
      </c>
      <c r="C48" s="51">
        <v>0</v>
      </c>
      <c r="D48" s="51">
        <v>0</v>
      </c>
      <c r="E48" s="51">
        <v>0</v>
      </c>
      <c r="F48" s="51">
        <v>0</v>
      </c>
      <c r="G48" s="60">
        <v>0</v>
      </c>
      <c r="H48" s="60">
        <v>0</v>
      </c>
      <c r="I48" s="60">
        <v>0</v>
      </c>
      <c r="J48" s="60">
        <v>0</v>
      </c>
      <c r="K48" s="60">
        <v>0</v>
      </c>
      <c r="L48" s="60">
        <v>0</v>
      </c>
      <c r="M48" s="16"/>
      <c r="N48" s="17">
        <v>0</v>
      </c>
      <c r="O48" s="17">
        <v>0</v>
      </c>
      <c r="P48" s="17">
        <v>0</v>
      </c>
    </row>
    <row r="49" spans="1:16" ht="14.4" x14ac:dyDescent="0.3">
      <c r="A49" s="47" t="s">
        <v>71</v>
      </c>
      <c r="B49" s="51"/>
      <c r="C49" s="59">
        <v>0</v>
      </c>
      <c r="D49" s="51">
        <v>400</v>
      </c>
      <c r="E49" s="59">
        <v>0</v>
      </c>
      <c r="F49" s="51">
        <v>349.9</v>
      </c>
      <c r="G49" s="51">
        <v>349.9</v>
      </c>
      <c r="H49" s="51">
        <v>349.9</v>
      </c>
      <c r="I49" s="51">
        <v>349.9</v>
      </c>
      <c r="J49" s="51">
        <v>349.9</v>
      </c>
      <c r="K49" s="51">
        <v>349.9</v>
      </c>
      <c r="L49" s="51">
        <v>349.9</v>
      </c>
      <c r="M49" s="1"/>
      <c r="N49" s="1">
        <f>SUM(N38:N48)</f>
        <v>5427.5</v>
      </c>
      <c r="O49" s="1">
        <f>SUM(O38:O48)</f>
        <v>5273.4</v>
      </c>
      <c r="P49" s="1">
        <f>SUM(P38:P48)</f>
        <v>5895.8</v>
      </c>
    </row>
    <row r="50" spans="1:16" ht="14.4" x14ac:dyDescent="0.3">
      <c r="A50" s="68" t="s">
        <v>72</v>
      </c>
      <c r="B50" s="69">
        <f t="shared" ref="B50:L50" si="12">B39+B42+B44+B46+B48+B49</f>
        <v>3038.7000000000003</v>
      </c>
      <c r="C50" s="69">
        <f t="shared" si="12"/>
        <v>3648.1000000000004</v>
      </c>
      <c r="D50" s="69">
        <f t="shared" si="12"/>
        <v>4546.8999999999996</v>
      </c>
      <c r="E50" s="69">
        <f t="shared" si="12"/>
        <v>4220.7</v>
      </c>
      <c r="F50" s="69">
        <f t="shared" si="12"/>
        <v>5684.1999999999989</v>
      </c>
      <c r="G50" s="69">
        <f t="shared" si="12"/>
        <v>5617.0976438356156</v>
      </c>
      <c r="H50" s="69">
        <f t="shared" si="12"/>
        <v>5731.7878465730391</v>
      </c>
      <c r="I50" s="69">
        <f t="shared" si="12"/>
        <v>5848.3251931331515</v>
      </c>
      <c r="J50" s="69">
        <f t="shared" si="12"/>
        <v>5971.066661911972</v>
      </c>
      <c r="K50" s="69">
        <f t="shared" si="12"/>
        <v>6100.4172390842032</v>
      </c>
      <c r="L50" s="69">
        <f t="shared" si="12"/>
        <v>6236.8098203210648</v>
      </c>
      <c r="M50" s="13"/>
      <c r="N50" s="16">
        <v>9130.7000000000007</v>
      </c>
      <c r="O50" s="16">
        <v>9141.5</v>
      </c>
      <c r="P50" s="16">
        <v>11159.1</v>
      </c>
    </row>
    <row r="51" spans="1:16" ht="14.4" x14ac:dyDescent="0.3">
      <c r="A51" s="45" t="s">
        <v>73</v>
      </c>
      <c r="B51" s="51">
        <v>2048.3000000000002</v>
      </c>
      <c r="C51" s="51">
        <v>2347.5</v>
      </c>
      <c r="D51" s="51">
        <v>3202.2</v>
      </c>
      <c r="E51" s="51">
        <v>3932.6</v>
      </c>
      <c r="F51" s="51">
        <v>9090.2000000000007</v>
      </c>
      <c r="G51" s="60">
        <v>9090.2000000000007</v>
      </c>
      <c r="H51" s="60">
        <v>9090.2000000000007</v>
      </c>
      <c r="I51" s="60">
        <v>9090.2000000000007</v>
      </c>
      <c r="J51" s="60">
        <v>9090.2000000000007</v>
      </c>
      <c r="K51" s="60">
        <v>9090.2000000000007</v>
      </c>
      <c r="L51" s="60">
        <v>9090.2000000000007</v>
      </c>
      <c r="M51" s="13"/>
      <c r="N51" s="16">
        <v>6823.7</v>
      </c>
      <c r="O51" s="16">
        <v>6761.9</v>
      </c>
      <c r="P51" s="16">
        <v>6717.9</v>
      </c>
    </row>
    <row r="52" spans="1:16" s="2" customFormat="1" ht="14.4" x14ac:dyDescent="0.3">
      <c r="A52" s="45" t="s">
        <v>74</v>
      </c>
      <c r="B52" s="51">
        <v>0</v>
      </c>
      <c r="C52" s="51">
        <v>0</v>
      </c>
      <c r="D52" s="51">
        <v>0</v>
      </c>
      <c r="E52" s="51">
        <v>4.4000000000000004</v>
      </c>
      <c r="F52" s="51">
        <v>6775.7</v>
      </c>
      <c r="G52" s="60">
        <v>6775.7</v>
      </c>
      <c r="H52" s="60">
        <v>6775.7</v>
      </c>
      <c r="I52" s="60">
        <v>6775.7</v>
      </c>
      <c r="J52" s="60">
        <v>6775.7</v>
      </c>
      <c r="K52" s="60">
        <v>6775.7</v>
      </c>
      <c r="L52" s="60">
        <v>6775.7</v>
      </c>
      <c r="M52" s="13"/>
      <c r="N52" s="16">
        <v>1478.2</v>
      </c>
      <c r="O52" s="16">
        <v>1500.3</v>
      </c>
      <c r="P52" s="16">
        <v>1440.6</v>
      </c>
    </row>
    <row r="53" spans="1:16" s="2" customFormat="1" ht="14.4" x14ac:dyDescent="0.3">
      <c r="A53" s="45" t="s">
        <v>75</v>
      </c>
      <c r="B53" s="51">
        <v>392.2</v>
      </c>
      <c r="C53" s="51">
        <v>600.9</v>
      </c>
      <c r="D53" s="51">
        <v>689.7</v>
      </c>
      <c r="E53" s="51">
        <v>750.9</v>
      </c>
      <c r="F53" s="51">
        <v>1430.5</v>
      </c>
      <c r="G53" s="60">
        <f>F53*1.02</f>
        <v>1459.1100000000001</v>
      </c>
      <c r="H53" s="60">
        <f t="shared" ref="H53:L53" si="13">G53*1.02</f>
        <v>1488.2922000000001</v>
      </c>
      <c r="I53" s="60">
        <f t="shared" si="13"/>
        <v>1518.0580440000001</v>
      </c>
      <c r="J53" s="60">
        <f t="shared" si="13"/>
        <v>1548.4192048800001</v>
      </c>
      <c r="K53" s="60">
        <f t="shared" si="13"/>
        <v>1579.3875889776</v>
      </c>
      <c r="L53" s="60">
        <f t="shared" si="13"/>
        <v>1610.975340757152</v>
      </c>
      <c r="M53" s="1"/>
      <c r="N53" s="1">
        <f>SUM(N49:N52)</f>
        <v>22860.100000000002</v>
      </c>
      <c r="O53" s="1">
        <f>SUM(O49:O52)</f>
        <v>22677.1</v>
      </c>
      <c r="P53" s="1">
        <f>SUM(P49:P52)</f>
        <v>25213.4</v>
      </c>
    </row>
    <row r="54" spans="1:16" ht="14.4" x14ac:dyDescent="0.3">
      <c r="A54" s="70" t="s">
        <v>76</v>
      </c>
      <c r="B54" s="76">
        <f t="shared" ref="B54:L54" si="14">SUM(B50:B53)</f>
        <v>5479.2</v>
      </c>
      <c r="C54" s="76">
        <f t="shared" si="14"/>
        <v>6596.5</v>
      </c>
      <c r="D54" s="76">
        <f t="shared" si="14"/>
        <v>8438.7999999999993</v>
      </c>
      <c r="E54" s="76">
        <f t="shared" si="14"/>
        <v>8908.5999999999985</v>
      </c>
      <c r="F54" s="76">
        <f t="shared" si="14"/>
        <v>22980.6</v>
      </c>
      <c r="G54" s="76">
        <f>SUM(G50:G53)</f>
        <v>22942.107643835618</v>
      </c>
      <c r="H54" s="76">
        <f t="shared" si="14"/>
        <v>23085.98004657304</v>
      </c>
      <c r="I54" s="76">
        <f t="shared" si="14"/>
        <v>23232.283237133153</v>
      </c>
      <c r="J54" s="76">
        <f t="shared" si="14"/>
        <v>23385.385866791974</v>
      </c>
      <c r="K54" s="76">
        <f t="shared" si="14"/>
        <v>23545.704828061804</v>
      </c>
      <c r="L54" s="76">
        <f t="shared" si="14"/>
        <v>23713.685161078218</v>
      </c>
      <c r="M54" s="1"/>
      <c r="N54" s="16"/>
      <c r="O54" s="16"/>
      <c r="P54" s="16"/>
    </row>
    <row r="55" spans="1:16" ht="14.4" x14ac:dyDescent="0.3">
      <c r="A55" s="53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11"/>
      <c r="N55" s="14"/>
      <c r="O55" s="14"/>
      <c r="P55" s="14"/>
    </row>
    <row r="56" spans="1:16" ht="14.4" x14ac:dyDescent="0.3">
      <c r="A56" s="53" t="s">
        <v>77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13"/>
      <c r="N56" s="16">
        <v>1.2</v>
      </c>
      <c r="O56" s="16">
        <v>1.2</v>
      </c>
      <c r="P56" s="16">
        <v>1.2</v>
      </c>
    </row>
    <row r="57" spans="1:16" ht="14.4" x14ac:dyDescent="0.3">
      <c r="A57" s="47" t="s">
        <v>78</v>
      </c>
      <c r="B57" s="51">
        <v>0.7</v>
      </c>
      <c r="C57" s="51">
        <v>1.5</v>
      </c>
      <c r="D57" s="51">
        <v>1.5</v>
      </c>
      <c r="E57" s="51">
        <v>1.4</v>
      </c>
      <c r="F57" s="51">
        <v>1.3</v>
      </c>
      <c r="G57" s="60">
        <v>1.3</v>
      </c>
      <c r="H57" s="60">
        <v>1.3</v>
      </c>
      <c r="I57" s="60">
        <v>1.3</v>
      </c>
      <c r="J57" s="60">
        <v>1.3</v>
      </c>
      <c r="K57" s="60">
        <v>1.3</v>
      </c>
      <c r="L57" s="60">
        <v>1.3</v>
      </c>
      <c r="M57" s="13"/>
      <c r="N57" s="16">
        <v>41.1</v>
      </c>
      <c r="O57" s="16">
        <v>41.1</v>
      </c>
      <c r="P57" s="16">
        <v>41.1</v>
      </c>
    </row>
    <row r="58" spans="1:16" ht="14.4" x14ac:dyDescent="0.3">
      <c r="A58" s="47" t="s">
        <v>79</v>
      </c>
      <c r="B58" s="51">
        <v>39.4</v>
      </c>
      <c r="C58" s="51">
        <v>41.1</v>
      </c>
      <c r="D58" s="51">
        <v>41.1</v>
      </c>
      <c r="E58" s="51">
        <v>41.1</v>
      </c>
      <c r="F58" s="51">
        <v>41.1</v>
      </c>
      <c r="G58" s="60">
        <v>41.1</v>
      </c>
      <c r="H58" s="60">
        <v>41.1</v>
      </c>
      <c r="I58" s="60">
        <v>41.1</v>
      </c>
      <c r="J58" s="60">
        <v>41.1</v>
      </c>
      <c r="K58" s="60">
        <v>41.1</v>
      </c>
      <c r="L58" s="60">
        <v>41.1</v>
      </c>
      <c r="M58" s="13"/>
      <c r="N58" s="16">
        <v>-2584</v>
      </c>
      <c r="O58" s="16">
        <v>-4807.7</v>
      </c>
      <c r="P58" s="16">
        <v>-4013.9</v>
      </c>
    </row>
    <row r="59" spans="1:16" ht="14.4" x14ac:dyDescent="0.3">
      <c r="A59" s="47" t="s">
        <v>80</v>
      </c>
      <c r="B59" s="51">
        <v>5206.6000000000004</v>
      </c>
      <c r="C59" s="51">
        <v>5974.8</v>
      </c>
      <c r="D59" s="51">
        <v>5949.8</v>
      </c>
      <c r="E59" s="51">
        <v>5563.2</v>
      </c>
      <c r="F59" s="51">
        <v>1457.4</v>
      </c>
      <c r="G59" s="51">
        <f>F59+'Income Statement'!S45+G61+G60</f>
        <v>3943.3996576000027</v>
      </c>
      <c r="H59" s="51">
        <f>G59+'Income Statement'!T45+H61+H60</f>
        <v>6459.7149459490511</v>
      </c>
      <c r="I59" s="51">
        <f>H59+'Income Statement'!U45+I61+I60</f>
        <v>9289.5331770449429</v>
      </c>
      <c r="J59" s="51">
        <f>I59+'Income Statement'!V45+J61+J60</f>
        <v>12428.915615572741</v>
      </c>
      <c r="K59" s="51">
        <f>J59+'Income Statement'!W45+K61+K60</f>
        <v>15862.930934302884</v>
      </c>
      <c r="L59" s="51">
        <f>K59+'Income Statement'!X45+L61+L60</f>
        <v>19595.385511470824</v>
      </c>
      <c r="M59" s="13"/>
      <c r="N59" s="16"/>
      <c r="O59" s="16"/>
      <c r="P59" s="16"/>
    </row>
    <row r="60" spans="1:16" ht="14.4" x14ac:dyDescent="0.3">
      <c r="A60" s="75" t="s">
        <v>133</v>
      </c>
      <c r="B60" s="51">
        <v>183.2</v>
      </c>
      <c r="C60" s="51">
        <v>209.8</v>
      </c>
      <c r="D60" s="51">
        <v>218.1</v>
      </c>
      <c r="E60" s="51">
        <v>176</v>
      </c>
      <c r="F60" s="51">
        <v>250.3</v>
      </c>
      <c r="G60" s="60">
        <v>250.3</v>
      </c>
      <c r="H60" s="60">
        <v>250.3</v>
      </c>
      <c r="I60" s="60">
        <v>250.3</v>
      </c>
      <c r="J60" s="60">
        <v>250.3</v>
      </c>
      <c r="K60" s="60">
        <v>250.3</v>
      </c>
      <c r="L60" s="60">
        <v>250.3</v>
      </c>
      <c r="M60" s="13"/>
      <c r="N60" s="16"/>
      <c r="O60" s="16"/>
      <c r="P60" s="16"/>
    </row>
    <row r="61" spans="1:16" ht="14.4" x14ac:dyDescent="0.3">
      <c r="A61" s="75" t="s">
        <v>134</v>
      </c>
      <c r="B61" s="51">
        <v>-783.1</v>
      </c>
      <c r="C61" s="51">
        <v>-928.6</v>
      </c>
      <c r="D61" s="51">
        <v>-1178</v>
      </c>
      <c r="E61" s="51">
        <v>-1450.4</v>
      </c>
      <c r="F61" s="51">
        <v>-1743.4</v>
      </c>
      <c r="G61" s="60">
        <f t="shared" ref="G61:L61" si="15">F61*1.01</f>
        <v>-1760.8340000000001</v>
      </c>
      <c r="H61" s="60">
        <f t="shared" si="15"/>
        <v>-1778.4423400000001</v>
      </c>
      <c r="I61" s="60">
        <f t="shared" si="15"/>
        <v>-1796.2267634</v>
      </c>
      <c r="J61" s="60">
        <f t="shared" si="15"/>
        <v>-1814.189031034</v>
      </c>
      <c r="K61" s="60">
        <f t="shared" si="15"/>
        <v>-1832.3309213443399</v>
      </c>
      <c r="L61" s="60">
        <f t="shared" si="15"/>
        <v>-1850.6542305577834</v>
      </c>
      <c r="M61" s="13"/>
      <c r="N61" s="16"/>
      <c r="O61" s="16"/>
      <c r="P61" s="16"/>
    </row>
    <row r="62" spans="1:16" s="2" customFormat="1" ht="14.4" x14ac:dyDescent="0.3">
      <c r="A62" s="75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13"/>
      <c r="N62" s="16">
        <v>-343.2</v>
      </c>
      <c r="O62" s="16">
        <v>-271.5</v>
      </c>
      <c r="P62" s="16">
        <v>-349</v>
      </c>
    </row>
    <row r="63" spans="1:16" ht="14.4" x14ac:dyDescent="0.3">
      <c r="A63" s="47" t="s">
        <v>81</v>
      </c>
      <c r="B63" s="51">
        <v>25.3</v>
      </c>
      <c r="C63" s="51">
        <v>-199.4</v>
      </c>
      <c r="D63" s="51">
        <v>-108.4</v>
      </c>
      <c r="E63" s="51">
        <v>-155.6</v>
      </c>
      <c r="F63" s="51">
        <v>-330.3</v>
      </c>
      <c r="G63" s="60">
        <v>-330.3</v>
      </c>
      <c r="H63" s="60">
        <v>-330.3</v>
      </c>
      <c r="I63" s="60">
        <v>-330.3</v>
      </c>
      <c r="J63" s="60">
        <v>-330.3</v>
      </c>
      <c r="K63" s="60">
        <v>-330.3</v>
      </c>
      <c r="L63" s="60">
        <v>-330.3</v>
      </c>
      <c r="M63" s="1"/>
      <c r="N63" s="1">
        <f>SUM(N56:N62)</f>
        <v>-2884.8999999999996</v>
      </c>
      <c r="O63" s="1">
        <f>SUM(O56:O62)</f>
        <v>-5036.8999999999996</v>
      </c>
      <c r="P63" s="1">
        <f>SUM(P56:P62)</f>
        <v>-4320.6000000000004</v>
      </c>
    </row>
    <row r="64" spans="1:16" s="2" customFormat="1" ht="14.4" x14ac:dyDescent="0.3">
      <c r="A64" s="68" t="s">
        <v>82</v>
      </c>
      <c r="B64" s="69">
        <f t="shared" ref="B64:L64" si="16">B57+B58+B59+B63</f>
        <v>5272.0000000000009</v>
      </c>
      <c r="C64" s="69">
        <f t="shared" si="16"/>
        <v>5818.0000000000009</v>
      </c>
      <c r="D64" s="69">
        <f t="shared" si="16"/>
        <v>5884.0000000000009</v>
      </c>
      <c r="E64" s="69">
        <f t="shared" si="16"/>
        <v>5450.0999999999995</v>
      </c>
      <c r="F64" s="69">
        <f t="shared" si="16"/>
        <v>1169.5000000000002</v>
      </c>
      <c r="G64" s="69">
        <f t="shared" si="16"/>
        <v>3655.4996576000026</v>
      </c>
      <c r="H64" s="69">
        <f t="shared" si="16"/>
        <v>6171.8149459490505</v>
      </c>
      <c r="I64" s="69">
        <f t="shared" si="16"/>
        <v>9001.6331770449433</v>
      </c>
      <c r="J64" s="69">
        <f t="shared" si="16"/>
        <v>12141.015615572742</v>
      </c>
      <c r="K64" s="69">
        <f t="shared" si="16"/>
        <v>15575.030934302884</v>
      </c>
      <c r="L64" s="69">
        <f t="shared" si="16"/>
        <v>19307.485511470826</v>
      </c>
      <c r="M64" s="13"/>
      <c r="N64" s="16">
        <v>6.1</v>
      </c>
      <c r="O64" s="16">
        <v>1.7</v>
      </c>
      <c r="P64" s="16">
        <v>1.6</v>
      </c>
    </row>
    <row r="65" spans="1:16" s="2" customFormat="1" ht="14.4" x14ac:dyDescent="0.3">
      <c r="A65" s="45" t="s">
        <v>83</v>
      </c>
      <c r="B65" s="51">
        <v>1.7</v>
      </c>
      <c r="C65" s="51">
        <v>1.8</v>
      </c>
      <c r="D65" s="51">
        <v>6.7</v>
      </c>
      <c r="E65" s="51">
        <v>6.9</v>
      </c>
      <c r="F65" s="51">
        <v>6.3</v>
      </c>
      <c r="G65" s="60">
        <v>6.3</v>
      </c>
      <c r="H65" s="60">
        <v>6.3</v>
      </c>
      <c r="I65" s="60">
        <v>6.3</v>
      </c>
      <c r="J65" s="60">
        <v>6.3</v>
      </c>
      <c r="K65" s="60">
        <v>6.3</v>
      </c>
      <c r="L65" s="60">
        <v>6.3</v>
      </c>
      <c r="M65" s="1"/>
      <c r="N65" s="1">
        <f>SUM(N63:N64)</f>
        <v>-2878.7999999999997</v>
      </c>
      <c r="O65" s="1">
        <f>SUM(O63:O64)</f>
        <v>-5035.2</v>
      </c>
      <c r="P65" s="1">
        <f>SUM(P63:P64)</f>
        <v>-4319</v>
      </c>
    </row>
    <row r="66" spans="1:16" ht="14.4" x14ac:dyDescent="0.3">
      <c r="A66" s="68" t="s">
        <v>84</v>
      </c>
      <c r="B66" s="69">
        <f t="shared" ref="B66:L66" si="17">SUM(B64:B65)</f>
        <v>5273.7000000000007</v>
      </c>
      <c r="C66" s="69">
        <f t="shared" si="17"/>
        <v>5819.8000000000011</v>
      </c>
      <c r="D66" s="69">
        <f t="shared" si="17"/>
        <v>5890.7000000000007</v>
      </c>
      <c r="E66" s="69">
        <f t="shared" si="17"/>
        <v>5456.9999999999991</v>
      </c>
      <c r="F66" s="69">
        <f t="shared" si="17"/>
        <v>1175.8000000000002</v>
      </c>
      <c r="G66" s="69">
        <f>SUM(G64:G65)</f>
        <v>3661.7996576000028</v>
      </c>
      <c r="H66" s="69">
        <f t="shared" si="17"/>
        <v>6178.1149459490507</v>
      </c>
      <c r="I66" s="69">
        <f t="shared" si="17"/>
        <v>9007.9331770449426</v>
      </c>
      <c r="J66" s="69">
        <f t="shared" si="17"/>
        <v>12147.315615572741</v>
      </c>
      <c r="K66" s="69">
        <f t="shared" si="17"/>
        <v>15581.330934302883</v>
      </c>
      <c r="L66" s="69">
        <f t="shared" si="17"/>
        <v>19313.785511470825</v>
      </c>
      <c r="M66" s="1"/>
      <c r="N66" s="1"/>
      <c r="O66" s="1"/>
      <c r="P66" s="1"/>
    </row>
    <row r="67" spans="1:16" ht="14.4" x14ac:dyDescent="0.3">
      <c r="A67" s="53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9"/>
      <c r="N67" s="9">
        <f>N53+N65</f>
        <v>19981.300000000003</v>
      </c>
      <c r="O67" s="9">
        <f>O53+O65</f>
        <v>17641.899999999998</v>
      </c>
      <c r="P67" s="9">
        <f>P53+P65</f>
        <v>20894.400000000001</v>
      </c>
    </row>
    <row r="68" spans="1:16" ht="14.4" x14ac:dyDescent="0.3">
      <c r="A68" s="70" t="s">
        <v>85</v>
      </c>
      <c r="B68" s="71">
        <f t="shared" ref="B68:L68" si="18">B54+B66</f>
        <v>10752.900000000001</v>
      </c>
      <c r="C68" s="71">
        <f t="shared" si="18"/>
        <v>12416.300000000001</v>
      </c>
      <c r="D68" s="71">
        <f t="shared" si="18"/>
        <v>14329.5</v>
      </c>
      <c r="E68" s="71">
        <f t="shared" si="18"/>
        <v>14365.599999999999</v>
      </c>
      <c r="F68" s="71">
        <f t="shared" si="18"/>
        <v>24156.399999999998</v>
      </c>
      <c r="G68" s="71">
        <f t="shared" si="18"/>
        <v>26603.907301435622</v>
      </c>
      <c r="H68" s="71">
        <f t="shared" si="18"/>
        <v>29264.094992522092</v>
      </c>
      <c r="I68" s="71">
        <f t="shared" si="18"/>
        <v>32240.216414178096</v>
      </c>
      <c r="J68" s="71">
        <f t="shared" si="18"/>
        <v>35532.701482364719</v>
      </c>
      <c r="K68" s="71">
        <f t="shared" si="18"/>
        <v>39127.035762364685</v>
      </c>
      <c r="L68" s="71">
        <f t="shared" si="18"/>
        <v>43027.47067254904</v>
      </c>
      <c r="N68" s="13"/>
      <c r="O68" s="1"/>
      <c r="P68" s="1"/>
    </row>
    <row r="69" spans="1:16" s="168" customFormat="1" ht="14.4" outlineLevel="1" x14ac:dyDescent="0.3">
      <c r="A69" s="166" t="s">
        <v>282</v>
      </c>
      <c r="B69" s="167">
        <f t="shared" ref="B69:L69" si="19">B68-B35</f>
        <v>0</v>
      </c>
      <c r="C69" s="167">
        <f t="shared" si="19"/>
        <v>0</v>
      </c>
      <c r="D69" s="167">
        <f t="shared" si="19"/>
        <v>0</v>
      </c>
      <c r="E69" s="167">
        <f t="shared" si="19"/>
        <v>0</v>
      </c>
      <c r="F69" s="167">
        <f t="shared" si="19"/>
        <v>0</v>
      </c>
      <c r="G69" s="167">
        <f t="shared" si="19"/>
        <v>0</v>
      </c>
      <c r="H69" s="170">
        <f t="shared" si="19"/>
        <v>0</v>
      </c>
      <c r="I69" s="167">
        <f t="shared" si="19"/>
        <v>0</v>
      </c>
      <c r="J69" s="167">
        <f t="shared" si="19"/>
        <v>0</v>
      </c>
      <c r="K69" s="167">
        <f t="shared" si="19"/>
        <v>0</v>
      </c>
      <c r="L69" s="167">
        <f t="shared" si="19"/>
        <v>0</v>
      </c>
    </row>
    <row r="70" spans="1:16" ht="14.4" x14ac:dyDescent="0.3">
      <c r="B70" s="18"/>
      <c r="D70" s="12"/>
    </row>
    <row r="71" spans="1:16" ht="14.4" hidden="1" x14ac:dyDescent="0.3">
      <c r="A71" t="s">
        <v>295</v>
      </c>
      <c r="B71" s="18"/>
      <c r="D71" s="12"/>
      <c r="G71" s="169">
        <f>G5-F5+G8-F8+G11-F11+G15-F15</f>
        <v>464.19827397260292</v>
      </c>
    </row>
    <row r="72" spans="1:16" ht="14.4" hidden="1" x14ac:dyDescent="0.3">
      <c r="A72" t="s">
        <v>294</v>
      </c>
      <c r="B72" s="10"/>
      <c r="G72" s="169">
        <f>G29-F29+G32-F32</f>
        <v>553.22647199999915</v>
      </c>
    </row>
    <row r="73" spans="1:16" ht="14.4" hidden="1" x14ac:dyDescent="0.3">
      <c r="A73" t="s">
        <v>296</v>
      </c>
      <c r="G73" s="162">
        <f>G39-F39+G42-F42+G46-F46</f>
        <v>-67.102356164383764</v>
      </c>
    </row>
    <row r="74" spans="1:16" ht="14.4" hidden="1" x14ac:dyDescent="0.3">
      <c r="A74" t="s">
        <v>297</v>
      </c>
      <c r="G74" s="169">
        <f>G53-F53</f>
        <v>28.610000000000127</v>
      </c>
    </row>
    <row r="75" spans="1:16" ht="14.4" hidden="1" x14ac:dyDescent="0.3">
      <c r="A75" t="s">
        <v>298</v>
      </c>
      <c r="G75" s="169">
        <f>G59-F59</f>
        <v>2485.9996576000026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8"/>
  <sheetViews>
    <sheetView showGridLines="0" topLeftCell="A15" zoomScale="96" zoomScaleNormal="96" workbookViewId="0">
      <pane xSplit="5" topLeftCell="F1" activePane="topRight" state="frozen"/>
      <selection pane="topRight" activeCell="G10" sqref="G10"/>
    </sheetView>
    <sheetView showGridLines="0" zoomScaleNormal="100" workbookViewId="1"/>
  </sheetViews>
  <sheetFormatPr defaultColWidth="8.77734375" defaultRowHeight="14.4" x14ac:dyDescent="0.3"/>
  <cols>
    <col min="1" max="1" width="81.33203125" customWidth="1"/>
    <col min="2" max="5" width="10.44140625" hidden="1" customWidth="1"/>
    <col min="6" max="6" width="11.77734375" bestFit="1" customWidth="1"/>
    <col min="7" max="13" width="11.77734375" customWidth="1"/>
  </cols>
  <sheetData>
    <row r="1" spans="1:13" x14ac:dyDescent="0.3">
      <c r="A1" s="42" t="s">
        <v>0</v>
      </c>
      <c r="B1" s="43">
        <v>2014</v>
      </c>
      <c r="C1" s="43">
        <v>2015</v>
      </c>
      <c r="D1" s="43">
        <v>2016</v>
      </c>
      <c r="E1" s="43">
        <v>2017</v>
      </c>
      <c r="F1" s="43" t="s">
        <v>22</v>
      </c>
      <c r="G1" s="44" t="s">
        <v>117</v>
      </c>
      <c r="H1" s="44" t="s">
        <v>118</v>
      </c>
      <c r="I1" s="44" t="s">
        <v>119</v>
      </c>
      <c r="J1" s="44" t="s">
        <v>120</v>
      </c>
      <c r="K1" s="44" t="s">
        <v>121</v>
      </c>
      <c r="L1" s="44" t="s">
        <v>122</v>
      </c>
      <c r="M1" s="157"/>
    </row>
    <row r="2" spans="1:13" s="38" customFormat="1" x14ac:dyDescent="0.3">
      <c r="A2" s="77" t="s">
        <v>87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35"/>
    </row>
    <row r="3" spans="1:13" x14ac:dyDescent="0.3">
      <c r="A3" s="45" t="s">
        <v>16</v>
      </c>
      <c r="B3" s="48">
        <f>'Income Statement'!B45</f>
        <v>2067.6999999999994</v>
      </c>
      <c r="C3" s="48">
        <f>'Income Statement'!C45</f>
        <v>2759.3000000000011</v>
      </c>
      <c r="D3" s="48">
        <f>'Income Statement'!H45</f>
        <v>2818.8999999999969</v>
      </c>
      <c r="E3" s="48">
        <f>'Income Statement'!M45</f>
        <v>2884.8999999999992</v>
      </c>
      <c r="F3" s="48">
        <f>'Income Statement'!R45</f>
        <v>4518</v>
      </c>
      <c r="G3" s="48">
        <f>'Income Statement'!S45</f>
        <v>3996.5336576000018</v>
      </c>
      <c r="H3" s="48">
        <f>'Income Statement'!T45</f>
        <v>4044.4576283490483</v>
      </c>
      <c r="I3" s="48">
        <f>'Income Statement'!U45</f>
        <v>4375.7449944958917</v>
      </c>
      <c r="J3" s="48">
        <f>'Income Statement'!V45</f>
        <v>4703.2714695617997</v>
      </c>
      <c r="K3" s="48">
        <f>'Income Statement'!W45</f>
        <v>5016.0462400744818</v>
      </c>
      <c r="L3" s="48">
        <f>'Income Statement'!X45</f>
        <v>5332.8088077257216</v>
      </c>
      <c r="M3" s="15"/>
    </row>
    <row r="4" spans="1:13" x14ac:dyDescent="0.3">
      <c r="A4" s="45" t="s">
        <v>88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14"/>
    </row>
    <row r="5" spans="1:13" x14ac:dyDescent="0.3">
      <c r="A5" s="47" t="s">
        <v>89</v>
      </c>
      <c r="B5" s="51">
        <v>748.4</v>
      </c>
      <c r="C5" s="51">
        <v>933.8</v>
      </c>
      <c r="D5" s="51">
        <v>1030.0999999999999</v>
      </c>
      <c r="E5" s="51">
        <v>1067.0999999999999</v>
      </c>
      <c r="F5" s="51">
        <v>1305.9000000000001</v>
      </c>
      <c r="G5" s="51">
        <f>'Balance Sheet'!G26</f>
        <v>1359.5147279999999</v>
      </c>
      <c r="H5" s="51">
        <f>'Balance Sheet'!H26</f>
        <v>1548.9448848081433</v>
      </c>
      <c r="I5" s="51">
        <f>'Balance Sheet'!I26</f>
        <v>1753.8003902352359</v>
      </c>
      <c r="J5" s="51">
        <f>'Balance Sheet'!J26</f>
        <v>1974.8575706090876</v>
      </c>
      <c r="K5" s="51">
        <f>'Balance Sheet'!K26</f>
        <v>2212.8061012247358</v>
      </c>
      <c r="L5" s="51">
        <f>'Balance Sheet'!L26</f>
        <v>2468.6460802789343</v>
      </c>
      <c r="M5" s="16"/>
    </row>
    <row r="6" spans="1:13" x14ac:dyDescent="0.3">
      <c r="A6" s="47" t="s">
        <v>90</v>
      </c>
      <c r="B6" s="51">
        <v>-182.7</v>
      </c>
      <c r="C6" s="51">
        <v>-190.2</v>
      </c>
      <c r="D6" s="51">
        <v>-250.2</v>
      </c>
      <c r="E6" s="51">
        <v>-310.2</v>
      </c>
      <c r="F6" s="51">
        <v>-242.8</v>
      </c>
      <c r="G6" s="51">
        <v>0</v>
      </c>
      <c r="H6" s="51">
        <v>0</v>
      </c>
      <c r="I6" s="51">
        <v>0</v>
      </c>
      <c r="J6" s="51">
        <v>0</v>
      </c>
      <c r="K6" s="51">
        <v>0</v>
      </c>
      <c r="L6" s="51">
        <v>0</v>
      </c>
      <c r="M6" s="16"/>
    </row>
    <row r="7" spans="1:13" x14ac:dyDescent="0.3">
      <c r="A7" s="47" t="s">
        <v>293</v>
      </c>
      <c r="B7" s="51"/>
      <c r="C7" s="51"/>
      <c r="D7" s="51"/>
      <c r="E7" s="51"/>
      <c r="F7" s="51">
        <f>-'Income Statement'!R35</f>
        <v>-191.4</v>
      </c>
      <c r="G7" s="51">
        <v>0</v>
      </c>
      <c r="H7" s="51">
        <v>0</v>
      </c>
      <c r="I7" s="51">
        <v>0</v>
      </c>
      <c r="J7" s="51">
        <v>0</v>
      </c>
      <c r="K7" s="51">
        <v>0</v>
      </c>
      <c r="L7" s="51">
        <v>0</v>
      </c>
      <c r="M7" s="16"/>
    </row>
    <row r="8" spans="1:13" x14ac:dyDescent="0.3">
      <c r="A8" s="47" t="s">
        <v>13</v>
      </c>
      <c r="B8" s="51">
        <v>-70.2</v>
      </c>
      <c r="C8" s="51">
        <v>-394.3</v>
      </c>
      <c r="D8" s="59">
        <v>0</v>
      </c>
      <c r="E8" s="59">
        <v>0</v>
      </c>
      <c r="F8" s="51">
        <v>-1376.4</v>
      </c>
      <c r="G8" s="51">
        <f>'Income Statement'!S33</f>
        <v>0</v>
      </c>
      <c r="H8" s="51">
        <f>'Income Statement'!T33</f>
        <v>0</v>
      </c>
      <c r="I8" s="51">
        <f>'Income Statement'!U33</f>
        <v>0</v>
      </c>
      <c r="J8" s="51">
        <f>'Income Statement'!V33</f>
        <v>0</v>
      </c>
      <c r="K8" s="51">
        <f>'Income Statement'!W33</f>
        <v>0</v>
      </c>
      <c r="L8" s="51">
        <f>'Income Statement'!X33</f>
        <v>0</v>
      </c>
      <c r="M8" s="16"/>
    </row>
    <row r="9" spans="1:13" x14ac:dyDescent="0.3">
      <c r="A9" s="47" t="s">
        <v>91</v>
      </c>
      <c r="B9" s="59">
        <v>0</v>
      </c>
      <c r="C9" s="59">
        <v>0</v>
      </c>
      <c r="D9" s="51">
        <v>-6.1</v>
      </c>
      <c r="E9" s="51">
        <v>-93.5</v>
      </c>
      <c r="F9" s="51">
        <f>-'Income Statement'!R34</f>
        <v>-499.2</v>
      </c>
      <c r="G9" s="51">
        <v>0</v>
      </c>
      <c r="H9" s="51">
        <f>-'Income Statement'!T34</f>
        <v>0</v>
      </c>
      <c r="I9" s="51">
        <f>-'Income Statement'!U34</f>
        <v>0</v>
      </c>
      <c r="J9" s="51">
        <f>-'Income Statement'!V34</f>
        <v>0</v>
      </c>
      <c r="K9" s="51">
        <f>-'Income Statement'!W34</f>
        <v>0</v>
      </c>
      <c r="L9" s="51">
        <f>-'Income Statement'!X34</f>
        <v>0</v>
      </c>
      <c r="M9" s="16"/>
    </row>
    <row r="10" spans="1:13" x14ac:dyDescent="0.3">
      <c r="A10" s="47" t="s">
        <v>92</v>
      </c>
      <c r="B10" s="51">
        <v>183.2</v>
      </c>
      <c r="C10" s="51">
        <v>209.8</v>
      </c>
      <c r="D10" s="51">
        <v>218.1</v>
      </c>
      <c r="E10" s="51">
        <v>176</v>
      </c>
      <c r="F10" s="51">
        <v>250.3</v>
      </c>
      <c r="G10" s="51">
        <f>'Balance Sheet'!G60</f>
        <v>250.3</v>
      </c>
      <c r="H10" s="51">
        <f>'Balance Sheet'!H60</f>
        <v>250.3</v>
      </c>
      <c r="I10" s="51">
        <f>'Balance Sheet'!I60</f>
        <v>250.3</v>
      </c>
      <c r="J10" s="51">
        <f>'Balance Sheet'!J60</f>
        <v>250.3</v>
      </c>
      <c r="K10" s="51">
        <f>'Balance Sheet'!K60</f>
        <v>250.3</v>
      </c>
      <c r="L10" s="51">
        <f>'Balance Sheet'!L60</f>
        <v>250.3</v>
      </c>
      <c r="M10" s="16"/>
    </row>
    <row r="11" spans="1:13" x14ac:dyDescent="0.3">
      <c r="A11" s="79" t="s">
        <v>291</v>
      </c>
      <c r="B11" s="51"/>
      <c r="C11" s="51"/>
      <c r="D11" s="51"/>
      <c r="E11" s="51"/>
      <c r="F11" s="51">
        <f>-'Balance Sheet'!F5+'Balance Sheet'!E5</f>
        <v>47.099999999999994</v>
      </c>
      <c r="G11" s="51">
        <f>-'Balance Sheet'!G5+'Balance Sheet'!F5</f>
        <v>-3.6299999999999955</v>
      </c>
      <c r="H11" s="51">
        <f>-'Balance Sheet'!H5+'Balance Sheet'!G5</f>
        <v>-3.7025999999999897</v>
      </c>
      <c r="I11" s="51">
        <f>-'Balance Sheet'!I5+'Balance Sheet'!H5</f>
        <v>-3.7766520000000128</v>
      </c>
      <c r="J11" s="51">
        <f>-'Balance Sheet'!J5+'Balance Sheet'!I5</f>
        <v>-3.8521850399999948</v>
      </c>
      <c r="K11" s="51">
        <f>-'Balance Sheet'!K5+'Balance Sheet'!J5</f>
        <v>-3.9292287407999993</v>
      </c>
      <c r="L11" s="51">
        <f>-'Balance Sheet'!L5+'Balance Sheet'!K5</f>
        <v>-4.007813315616005</v>
      </c>
      <c r="M11" s="16"/>
    </row>
    <row r="12" spans="1:13" x14ac:dyDescent="0.3">
      <c r="A12" s="79" t="s">
        <v>60</v>
      </c>
      <c r="B12" s="51">
        <v>10.199999999999999</v>
      </c>
      <c r="C12" s="51">
        <v>21.2</v>
      </c>
      <c r="D12" s="51">
        <v>265.7</v>
      </c>
      <c r="E12" s="51">
        <v>95.1</v>
      </c>
      <c r="F12" s="51">
        <f>-'Balance Sheet'!F31+'Balance Sheet'!E31</f>
        <v>660.7</v>
      </c>
      <c r="G12" s="51">
        <f>-'Balance Sheet'!G31+'Balance Sheet'!F31</f>
        <v>-2.6939999999999884</v>
      </c>
      <c r="H12" s="51">
        <f>-'Balance Sheet'!H31+'Balance Sheet'!G31</f>
        <v>-2.7478800000000092</v>
      </c>
      <c r="I12" s="51">
        <f>-'Balance Sheet'!I31+'Balance Sheet'!H31</f>
        <v>-2.8028376000000037</v>
      </c>
      <c r="J12" s="51">
        <f>-'Balance Sheet'!J31+'Balance Sheet'!I31</f>
        <v>-2.858894351999993</v>
      </c>
      <c r="K12" s="51">
        <f>-'Balance Sheet'!K31+'Balance Sheet'!J31</f>
        <v>-2.9160722390400053</v>
      </c>
      <c r="L12" s="51">
        <f>-'Balance Sheet'!L31+'Balance Sheet'!K31</f>
        <v>-2.9743936838208072</v>
      </c>
      <c r="M12" s="16"/>
    </row>
    <row r="13" spans="1:13" x14ac:dyDescent="0.3">
      <c r="A13" s="79" t="s">
        <v>290</v>
      </c>
      <c r="B13" s="51"/>
      <c r="C13" s="51"/>
      <c r="D13" s="51"/>
      <c r="E13" s="51"/>
      <c r="F13" s="51">
        <f>-'Balance Sheet'!F32+'Balance Sheet'!E32</f>
        <v>-49.399999999999977</v>
      </c>
      <c r="G13" s="51">
        <f>-'Balance Sheet'!G32+'Balance Sheet'!F32</f>
        <v>-4.1220000000000141</v>
      </c>
      <c r="H13" s="51">
        <f>-'Balance Sheet'!H32+'Balance Sheet'!G32</f>
        <v>-4.1632200000000239</v>
      </c>
      <c r="I13" s="51">
        <f>-'Balance Sheet'!I32+'Balance Sheet'!H32</f>
        <v>-4.2048522000000048</v>
      </c>
      <c r="J13" s="51">
        <f>-'Balance Sheet'!J32+'Balance Sheet'!I32</f>
        <v>-4.2469007220000208</v>
      </c>
      <c r="K13" s="51">
        <f>-'Balance Sheet'!K32+'Balance Sheet'!J32</f>
        <v>-4.2893697292200272</v>
      </c>
      <c r="L13" s="51">
        <f>-'Balance Sheet'!L32+'Balance Sheet'!K32</f>
        <v>-4.3322634265122133</v>
      </c>
      <c r="M13" s="16"/>
    </row>
    <row r="14" spans="1:13" x14ac:dyDescent="0.3">
      <c r="A14" s="79" t="s">
        <v>289</v>
      </c>
      <c r="B14" s="51"/>
      <c r="C14" s="51"/>
      <c r="D14" s="51"/>
      <c r="E14" s="51"/>
      <c r="F14" s="51">
        <f>'Balance Sheet'!F53-'Balance Sheet'!E53</f>
        <v>679.6</v>
      </c>
      <c r="G14" s="51">
        <f>'Balance Sheet'!G53-'Balance Sheet'!F53</f>
        <v>28.610000000000127</v>
      </c>
      <c r="H14" s="51">
        <f>'Balance Sheet'!H53-'Balance Sheet'!G53</f>
        <v>29.182199999999966</v>
      </c>
      <c r="I14" s="51">
        <f>'Balance Sheet'!I53-'Balance Sheet'!H53</f>
        <v>29.765844000000016</v>
      </c>
      <c r="J14" s="51">
        <f>'Balance Sheet'!J53-'Balance Sheet'!I53</f>
        <v>30.361160879999943</v>
      </c>
      <c r="K14" s="51">
        <f>'Balance Sheet'!K53-'Balance Sheet'!J53</f>
        <v>30.968384097599937</v>
      </c>
      <c r="L14" s="51">
        <f>'Balance Sheet'!L53-'Balance Sheet'!K53</f>
        <v>31.587751779552036</v>
      </c>
      <c r="M14" s="16"/>
    </row>
    <row r="15" spans="1:13" x14ac:dyDescent="0.3">
      <c r="A15" s="79" t="s">
        <v>292</v>
      </c>
      <c r="B15" s="51"/>
      <c r="C15" s="51"/>
      <c r="D15" s="51"/>
      <c r="E15" s="51"/>
      <c r="F15" s="51">
        <f>'Balance Sheet'!F49-'Balance Sheet'!E49</f>
        <v>349.9</v>
      </c>
      <c r="G15" s="51">
        <f>'Balance Sheet'!G49-'Balance Sheet'!F49</f>
        <v>0</v>
      </c>
      <c r="H15" s="51">
        <f>'Balance Sheet'!H49-'Balance Sheet'!G49</f>
        <v>0</v>
      </c>
      <c r="I15" s="51">
        <f>'Balance Sheet'!I49-'Balance Sheet'!H49</f>
        <v>0</v>
      </c>
      <c r="J15" s="51">
        <f>'Balance Sheet'!J49-'Balance Sheet'!I49</f>
        <v>0</v>
      </c>
      <c r="K15" s="51">
        <f>'Balance Sheet'!K49-'Balance Sheet'!J49</f>
        <v>0</v>
      </c>
      <c r="L15" s="51">
        <f>'Balance Sheet'!L49-'Balance Sheet'!K49</f>
        <v>0</v>
      </c>
      <c r="M15" s="16"/>
    </row>
    <row r="16" spans="1:13" s="38" customFormat="1" x14ac:dyDescent="0.3">
      <c r="A16" s="80" t="s">
        <v>93</v>
      </c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35"/>
    </row>
    <row r="17" spans="1:13" x14ac:dyDescent="0.3">
      <c r="A17" s="75" t="s">
        <v>94</v>
      </c>
      <c r="B17" s="51">
        <v>-79.7</v>
      </c>
      <c r="C17" s="51">
        <v>-82.8</v>
      </c>
      <c r="D17" s="51">
        <v>-55.6</v>
      </c>
      <c r="E17" s="51">
        <v>-96.8</v>
      </c>
      <c r="F17" s="51">
        <v>131</v>
      </c>
      <c r="G17" s="51">
        <f>-('Balance Sheet'!G8-'Balance Sheet'!F8)</f>
        <v>-236.51665753424663</v>
      </c>
      <c r="H17" s="51">
        <f>-('Balance Sheet'!H8-'Balance Sheet'!G8)</f>
        <v>-95.54231724346289</v>
      </c>
      <c r="I17" s="51">
        <f>-('Balance Sheet'!I8-'Balance Sheet'!H8)</f>
        <v>-83.478971047922187</v>
      </c>
      <c r="J17" s="51">
        <f>-('Balance Sheet'!J8-'Balance Sheet'!I8)</f>
        <v>-87.680297361118164</v>
      </c>
      <c r="K17" s="51">
        <f>-('Balance Sheet'!K8-'Balance Sheet'!J8)</f>
        <v>-91.412685225350742</v>
      </c>
      <c r="L17" s="51">
        <f>-('Balance Sheet'!L8-'Balance Sheet'!K8)</f>
        <v>-10.290274298190525</v>
      </c>
      <c r="M17" s="16"/>
    </row>
    <row r="18" spans="1:13" x14ac:dyDescent="0.3">
      <c r="A18" s="75" t="s">
        <v>55</v>
      </c>
      <c r="B18" s="51">
        <v>14.3</v>
      </c>
      <c r="C18" s="51">
        <v>-207.9</v>
      </c>
      <c r="D18" s="51">
        <v>-67.5</v>
      </c>
      <c r="E18" s="51">
        <v>14</v>
      </c>
      <c r="F18" s="51">
        <v>-41.2</v>
      </c>
      <c r="G18" s="51">
        <f>-('Balance Sheet'!G11-'Balance Sheet'!F11)</f>
        <v>-96.335616438356055</v>
      </c>
      <c r="H18" s="51">
        <f>-('Balance Sheet'!H11-'Balance Sheet'!G11)</f>
        <v>-81.754897248762518</v>
      </c>
      <c r="I18" s="51">
        <f>-('Balance Sheet'!I11-'Balance Sheet'!H11)</f>
        <v>-89.860702357545961</v>
      </c>
      <c r="J18" s="51">
        <f>-('Balance Sheet'!J11-'Balance Sheet'!I11)</f>
        <v>-135.19615008361916</v>
      </c>
      <c r="K18" s="51">
        <f>-('Balance Sheet'!K11-'Balance Sheet'!J11)</f>
        <v>-82.930969711980197</v>
      </c>
      <c r="L18" s="51">
        <f>-('Balance Sheet'!L11-'Balance Sheet'!K11)</f>
        <v>-123.63192893951123</v>
      </c>
      <c r="M18" s="16"/>
    </row>
    <row r="19" spans="1:13" x14ac:dyDescent="0.3">
      <c r="A19" s="75" t="s">
        <v>56</v>
      </c>
      <c r="B19" s="51">
        <v>4.5999999999999996</v>
      </c>
      <c r="C19" s="51">
        <v>49.5</v>
      </c>
      <c r="D19" s="51">
        <v>0</v>
      </c>
      <c r="E19" s="51">
        <v>0</v>
      </c>
      <c r="F19" s="51">
        <f>-'Balance Sheet'!F15+'Balance Sheet'!E15</f>
        <v>-1104.6999999999998</v>
      </c>
      <c r="G19" s="51">
        <f>-'Balance Sheet'!G15+'Balance Sheet'!F15</f>
        <v>-127.71600000000012</v>
      </c>
      <c r="H19" s="51">
        <f>-'Balance Sheet'!H15+'Balance Sheet'!G15</f>
        <v>-163.46693340873753</v>
      </c>
      <c r="I19" s="51">
        <f>-'Balance Sheet'!I15+'Balance Sheet'!H15</f>
        <v>-142.82730202730431</v>
      </c>
      <c r="J19" s="51">
        <f>-'Balance Sheet'!J15+'Balance Sheet'!I15</f>
        <v>-150.01550876628789</v>
      </c>
      <c r="K19" s="51">
        <f>-'Balance Sheet'!K15+'Balance Sheet'!J15</f>
        <v>-156.40139112774864</v>
      </c>
      <c r="L19" s="51">
        <f>-'Balance Sheet'!L15+'Balance Sheet'!K15</f>
        <v>-165.66155961620325</v>
      </c>
      <c r="M19" s="16"/>
    </row>
    <row r="20" spans="1:13" x14ac:dyDescent="0.3">
      <c r="A20" s="75" t="s">
        <v>67</v>
      </c>
      <c r="B20" s="51">
        <v>60.4</v>
      </c>
      <c r="C20" s="51">
        <v>137.69999999999999</v>
      </c>
      <c r="D20" s="51">
        <v>46.9</v>
      </c>
      <c r="E20" s="51">
        <v>46.4</v>
      </c>
      <c r="F20" s="51">
        <f>('Balance Sheet'!F39-'Balance Sheet'!E39)</f>
        <v>396.79999999999995</v>
      </c>
      <c r="G20" s="51">
        <f>('Balance Sheet'!G39-'Balance Sheet'!F39)</f>
        <v>-101.57835616438365</v>
      </c>
      <c r="H20" s="51">
        <f>('Balance Sheet'!H39-'Balance Sheet'!G39)</f>
        <v>79.697062737423721</v>
      </c>
      <c r="I20" s="51">
        <f>('Balance Sheet'!I39-'Balance Sheet'!H39)</f>
        <v>81.019309460112936</v>
      </c>
      <c r="J20" s="51">
        <f>('Balance Sheet'!J39-'Balance Sheet'!I39)</f>
        <v>86.690661122320762</v>
      </c>
      <c r="K20" s="51">
        <f>('Balance Sheet'!K39-'Balance Sheet'!J39)</f>
        <v>92.75900740088332</v>
      </c>
      <c r="L20" s="51">
        <f>('Balance Sheet'!L39-'Balance Sheet'!K39)</f>
        <v>99.252137918944982</v>
      </c>
      <c r="M20" s="16"/>
    </row>
    <row r="21" spans="1:13" x14ac:dyDescent="0.3">
      <c r="A21" s="75" t="s">
        <v>109</v>
      </c>
      <c r="B21" s="51">
        <v>103.9</v>
      </c>
      <c r="C21" s="51">
        <v>124.4</v>
      </c>
      <c r="D21" s="51">
        <v>0</v>
      </c>
      <c r="E21" s="51">
        <v>0</v>
      </c>
      <c r="F21" s="51">
        <f>'Balance Sheet'!F42-'Balance Sheet'!E42+'Balance Sheet'!F44-'Balance Sheet'!E44</f>
        <v>362.40000000000015</v>
      </c>
      <c r="G21" s="51">
        <f>'Balance Sheet'!G42-'Balance Sheet'!F42+'Balance Sheet'!G44-'Balance Sheet'!F44</f>
        <v>34.475999999999658</v>
      </c>
      <c r="H21" s="51">
        <f>'Balance Sheet'!H42-'Balance Sheet'!G42+'Balance Sheet'!H44-'Balance Sheet'!G44</f>
        <v>34.993139999999585</v>
      </c>
      <c r="I21" s="51">
        <f>'Balance Sheet'!I42-'Balance Sheet'!H42+'Balance Sheet'!I44-'Balance Sheet'!H44</f>
        <v>35.518037099999674</v>
      </c>
      <c r="J21" s="51">
        <f>'Balance Sheet'!J42-'Balance Sheet'!I42+'Balance Sheet'!J44-'Balance Sheet'!I44</f>
        <v>36.050807656499728</v>
      </c>
      <c r="K21" s="51">
        <f>'Balance Sheet'!K42-'Balance Sheet'!J42+'Balance Sheet'!K44-'Balance Sheet'!J44</f>
        <v>36.591569771347167</v>
      </c>
      <c r="L21" s="51">
        <f>'Balance Sheet'!L42-'Balance Sheet'!K42+'Balance Sheet'!L44-'Balance Sheet'!K44</f>
        <v>37.140443317917288</v>
      </c>
      <c r="M21" s="16"/>
    </row>
    <row r="22" spans="1:13" s="34" customFormat="1" x14ac:dyDescent="0.3">
      <c r="A22" s="68" t="s">
        <v>95</v>
      </c>
      <c r="B22" s="69">
        <f>SUM(B3:B21)</f>
        <v>2860.1</v>
      </c>
      <c r="C22" s="69">
        <f>SUM(C3:C21)</f>
        <v>3360.5000000000009</v>
      </c>
      <c r="D22" s="69">
        <f>SUM(D3:D21)</f>
        <v>4000.299999999997</v>
      </c>
      <c r="E22" s="69">
        <f>SUM(E3:E21)</f>
        <v>3782.9999999999991</v>
      </c>
      <c r="F22" s="69">
        <f>F3+SUM(F5:F15)+SUM(F17:F21)</f>
        <v>5196.6000000000004</v>
      </c>
      <c r="G22" s="69">
        <f>G3+SUM(G5:G15)+SUM(G17:G21)</f>
        <v>5096.841755463015</v>
      </c>
      <c r="H22" s="69">
        <f>H3+SUM(H5:H14)+SUM(H17:H21)</f>
        <v>5636.1970679936512</v>
      </c>
      <c r="I22" s="69">
        <f>I3+SUM(I5:I14)+SUM(I17:I21)</f>
        <v>6199.1972580584679</v>
      </c>
      <c r="J22" s="69">
        <f>J3+SUM(J5:J14)+SUM(J17:J21)</f>
        <v>6697.6817335046826</v>
      </c>
      <c r="K22" s="69">
        <f>K3+SUM(K5:K14)+SUM(K17:K21)</f>
        <v>7297.5915857949076</v>
      </c>
      <c r="L22" s="69">
        <f>L3+SUM(L5:L14)+SUM(L17:L21)</f>
        <v>7908.8369877412151</v>
      </c>
      <c r="M22" s="33"/>
    </row>
    <row r="23" spans="1:13" s="2" customFormat="1" x14ac:dyDescent="0.3">
      <c r="A23" s="53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1"/>
    </row>
    <row r="24" spans="1:13" s="39" customFormat="1" x14ac:dyDescent="0.3">
      <c r="A24" s="81" t="s">
        <v>96</v>
      </c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36"/>
    </row>
    <row r="25" spans="1:13" x14ac:dyDescent="0.3">
      <c r="A25" s="47" t="s">
        <v>97</v>
      </c>
      <c r="B25" s="51">
        <v>-1652.5</v>
      </c>
      <c r="C25" s="51">
        <v>-567.4</v>
      </c>
      <c r="D25" s="51">
        <v>-1585.7</v>
      </c>
      <c r="E25" s="51">
        <v>-674.4</v>
      </c>
      <c r="F25" s="51">
        <v>-191.9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1">
        <v>0</v>
      </c>
      <c r="M25" s="16"/>
    </row>
    <row r="26" spans="1:13" x14ac:dyDescent="0.3">
      <c r="A26" s="47" t="s">
        <v>135</v>
      </c>
      <c r="B26" s="51">
        <v>-1160.9000000000001</v>
      </c>
      <c r="C26" s="51">
        <v>-1303.7</v>
      </c>
      <c r="D26" s="51">
        <v>-1440.3</v>
      </c>
      <c r="E26" s="51">
        <v>-1519.4</v>
      </c>
      <c r="F26" s="51">
        <v>-1976.4</v>
      </c>
      <c r="G26" s="51">
        <f>-'Balance Sheet'!G24</f>
        <v>-1908.6192000000001</v>
      </c>
      <c r="H26" s="51">
        <f>-'Balance Sheet'!H24</f>
        <v>-2104.7795200904848</v>
      </c>
      <c r="I26" s="51">
        <f>-'Balance Sheet'!I24</f>
        <v>-2276.17228252325</v>
      </c>
      <c r="J26" s="51">
        <f>-'Balance Sheet'!J24</f>
        <v>-2456.1908930427958</v>
      </c>
      <c r="K26" s="51">
        <f>-'Balance Sheet'!K24</f>
        <v>-2643.8725623960941</v>
      </c>
      <c r="L26" s="51">
        <f>-'Balance Sheet'!L24</f>
        <v>-2842.6664339355375</v>
      </c>
      <c r="M26" s="16"/>
    </row>
    <row r="27" spans="1:13" s="34" customFormat="1" x14ac:dyDescent="0.3">
      <c r="A27" s="68" t="s">
        <v>98</v>
      </c>
      <c r="B27" s="69">
        <f t="shared" ref="B27:L27" si="0">SUM(B25:B26)</f>
        <v>-2813.4</v>
      </c>
      <c r="C27" s="69">
        <f t="shared" si="0"/>
        <v>-1871.1</v>
      </c>
      <c r="D27" s="69">
        <f t="shared" si="0"/>
        <v>-3026</v>
      </c>
      <c r="E27" s="69">
        <f t="shared" si="0"/>
        <v>-2193.8000000000002</v>
      </c>
      <c r="F27" s="69">
        <f t="shared" si="0"/>
        <v>-2168.3000000000002</v>
      </c>
      <c r="G27" s="69">
        <f t="shared" si="0"/>
        <v>-1908.6192000000001</v>
      </c>
      <c r="H27" s="69">
        <f t="shared" si="0"/>
        <v>-2104.7795200904848</v>
      </c>
      <c r="I27" s="69">
        <f t="shared" si="0"/>
        <v>-2276.17228252325</v>
      </c>
      <c r="J27" s="69">
        <f t="shared" si="0"/>
        <v>-2456.1908930427958</v>
      </c>
      <c r="K27" s="69">
        <f t="shared" si="0"/>
        <v>-2643.8725623960941</v>
      </c>
      <c r="L27" s="69">
        <f t="shared" si="0"/>
        <v>-2842.6664339355375</v>
      </c>
      <c r="M27" s="33"/>
    </row>
    <row r="28" spans="1:13" x14ac:dyDescent="0.3">
      <c r="A28" s="45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16"/>
    </row>
    <row r="29" spans="1:13" s="39" customFormat="1" x14ac:dyDescent="0.3">
      <c r="A29" s="81" t="s">
        <v>99</v>
      </c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36"/>
    </row>
    <row r="30" spans="1:13" x14ac:dyDescent="0.3">
      <c r="A30" s="47" t="s">
        <v>100</v>
      </c>
      <c r="B30" s="51">
        <f>'Balance Sheet'!B61</f>
        <v>-783.1</v>
      </c>
      <c r="C30" s="51">
        <f>'Balance Sheet'!C61</f>
        <v>-928.6</v>
      </c>
      <c r="D30" s="51">
        <f>'Balance Sheet'!D61</f>
        <v>-1178</v>
      </c>
      <c r="E30" s="51">
        <f>'Balance Sheet'!E61</f>
        <v>-1450.4</v>
      </c>
      <c r="F30" s="51">
        <f>'Balance Sheet'!F61</f>
        <v>-1743.4</v>
      </c>
      <c r="G30" s="51">
        <f>'Balance Sheet'!G61</f>
        <v>-1760.8340000000001</v>
      </c>
      <c r="H30" s="51">
        <f>'Balance Sheet'!H61</f>
        <v>-1778.4423400000001</v>
      </c>
      <c r="I30" s="51">
        <f>'Balance Sheet'!I61</f>
        <v>-1796.2267634</v>
      </c>
      <c r="J30" s="51">
        <f>'Balance Sheet'!J61</f>
        <v>-1814.189031034</v>
      </c>
      <c r="K30" s="51">
        <f>'Balance Sheet'!K61</f>
        <v>-1832.3309213443399</v>
      </c>
      <c r="L30" s="51">
        <f>'Balance Sheet'!L61</f>
        <v>-1850.6542305577834</v>
      </c>
      <c r="M30" s="16"/>
    </row>
    <row r="31" spans="1:13" s="34" customFormat="1" x14ac:dyDescent="0.3">
      <c r="A31" s="68" t="s">
        <v>101</v>
      </c>
      <c r="B31" s="69">
        <f>SUM(B30:B30)</f>
        <v>-783.1</v>
      </c>
      <c r="C31" s="69">
        <f>SUM(C30:C30)</f>
        <v>-928.6</v>
      </c>
      <c r="D31" s="69">
        <f>SUM(D30:D30)</f>
        <v>-1178</v>
      </c>
      <c r="E31" s="69">
        <f>SUM(E30:E30)</f>
        <v>-1450.4</v>
      </c>
      <c r="F31" s="69">
        <f>SUM(F30:F30)</f>
        <v>-1743.4</v>
      </c>
      <c r="G31" s="69">
        <f t="shared" ref="G31:L31" si="1">G30</f>
        <v>-1760.8340000000001</v>
      </c>
      <c r="H31" s="69">
        <f t="shared" si="1"/>
        <v>-1778.4423400000001</v>
      </c>
      <c r="I31" s="69">
        <f t="shared" si="1"/>
        <v>-1796.2267634</v>
      </c>
      <c r="J31" s="69">
        <f t="shared" si="1"/>
        <v>-1814.189031034</v>
      </c>
      <c r="K31" s="69">
        <f t="shared" si="1"/>
        <v>-1832.3309213443399</v>
      </c>
      <c r="L31" s="69">
        <f t="shared" si="1"/>
        <v>-1850.6542305577834</v>
      </c>
      <c r="M31" s="33"/>
    </row>
    <row r="32" spans="1:13" s="2" customFormat="1" x14ac:dyDescent="0.3">
      <c r="A32" s="53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1"/>
    </row>
    <row r="33" spans="1:13" s="34" customFormat="1" x14ac:dyDescent="0.3">
      <c r="A33" s="68" t="s">
        <v>110</v>
      </c>
      <c r="B33" s="69" t="e">
        <f>B22+B27+B31+#REF!</f>
        <v>#REF!</v>
      </c>
      <c r="C33" s="69" t="e">
        <f>C22+C27+C31+#REF!</f>
        <v>#REF!</v>
      </c>
      <c r="D33" s="69" t="e">
        <f>D22+D27+D31+#REF!</f>
        <v>#REF!</v>
      </c>
      <c r="E33" s="69">
        <f t="shared" ref="E33:I33" si="2">E22+E27+E31</f>
        <v>138.79999999999882</v>
      </c>
      <c r="F33" s="69">
        <f t="shared" si="2"/>
        <v>1284.9000000000001</v>
      </c>
      <c r="G33" s="69">
        <f>G22+G27+G31</f>
        <v>1427.3885554630149</v>
      </c>
      <c r="H33" s="69">
        <f t="shared" si="2"/>
        <v>1752.9752079031664</v>
      </c>
      <c r="I33" s="69">
        <f t="shared" si="2"/>
        <v>2126.7982121352179</v>
      </c>
      <c r="J33" s="69">
        <f>J22+J27+J31</f>
        <v>2427.3018094278873</v>
      </c>
      <c r="K33" s="69">
        <f t="shared" ref="K33:L33" si="3">K22+K27+K31</f>
        <v>2821.3881020544732</v>
      </c>
      <c r="L33" s="69">
        <f t="shared" si="3"/>
        <v>3215.5163232478944</v>
      </c>
      <c r="M33" s="33"/>
    </row>
    <row r="34" spans="1:13" s="2" customFormat="1" x14ac:dyDescent="0.3">
      <c r="A34" s="53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1"/>
    </row>
    <row r="35" spans="1:13" s="39" customFormat="1" x14ac:dyDescent="0.3">
      <c r="A35" s="81" t="s">
        <v>102</v>
      </c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36"/>
    </row>
    <row r="36" spans="1:13" x14ac:dyDescent="0.3">
      <c r="A36" s="45" t="s">
        <v>103</v>
      </c>
      <c r="B36" s="51">
        <v>2575.6999999999998</v>
      </c>
      <c r="C36" s="48">
        <f>'Balance Sheet'!B4</f>
        <v>1708.4</v>
      </c>
      <c r="D36" s="48">
        <f>'Balance Sheet'!C4</f>
        <v>1530.1</v>
      </c>
      <c r="E36" s="48">
        <f>'Balance Sheet'!D4</f>
        <v>2128.8000000000002</v>
      </c>
      <c r="F36" s="48">
        <f>'Balance Sheet'!E4</f>
        <v>2462.3000000000002</v>
      </c>
      <c r="G36" s="48">
        <f>F37</f>
        <v>8756.2999999999993</v>
      </c>
      <c r="H36" s="48">
        <f t="shared" ref="H36:L36" si="4">G37</f>
        <v>10183.688555463013</v>
      </c>
      <c r="I36" s="48">
        <f t="shared" si="4"/>
        <v>11936.663763366179</v>
      </c>
      <c r="J36" s="48">
        <f t="shared" si="4"/>
        <v>14063.461975501397</v>
      </c>
      <c r="K36" s="48">
        <f t="shared" si="4"/>
        <v>16490.763784929284</v>
      </c>
      <c r="L36" s="48">
        <f t="shared" si="4"/>
        <v>19312.151886983756</v>
      </c>
      <c r="M36" s="15"/>
    </row>
    <row r="37" spans="1:13" x14ac:dyDescent="0.3">
      <c r="A37" s="45" t="s">
        <v>104</v>
      </c>
      <c r="B37" s="48">
        <f>'Balance Sheet'!B4</f>
        <v>1708.4</v>
      </c>
      <c r="C37" s="48">
        <f>'Balance Sheet'!C4</f>
        <v>1530.1</v>
      </c>
      <c r="D37" s="48">
        <f>'Balance Sheet'!D4</f>
        <v>2128.8000000000002</v>
      </c>
      <c r="E37" s="48">
        <f>'Balance Sheet'!E4</f>
        <v>2462.3000000000002</v>
      </c>
      <c r="F37" s="48">
        <v>8756.2999999999993</v>
      </c>
      <c r="G37" s="48">
        <f>G36+G33</f>
        <v>10183.688555463013</v>
      </c>
      <c r="H37" s="48">
        <f t="shared" ref="H37:L37" si="5">H36+H33</f>
        <v>11936.663763366179</v>
      </c>
      <c r="I37" s="48">
        <f t="shared" si="5"/>
        <v>14063.461975501397</v>
      </c>
      <c r="J37" s="48">
        <f t="shared" si="5"/>
        <v>16490.763784929284</v>
      </c>
      <c r="K37" s="48">
        <f t="shared" si="5"/>
        <v>19312.151886983756</v>
      </c>
      <c r="L37" s="48">
        <f t="shared" si="5"/>
        <v>22527.668210231652</v>
      </c>
      <c r="M37" s="15"/>
    </row>
    <row r="38" spans="1:13" x14ac:dyDescent="0.3">
      <c r="A38" s="18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</row>
    <row r="39" spans="1:13" s="39" customFormat="1" x14ac:dyDescent="0.3">
      <c r="A39" s="81" t="s">
        <v>105</v>
      </c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36"/>
    </row>
    <row r="40" spans="1:13" x14ac:dyDescent="0.3">
      <c r="A40" s="45" t="s">
        <v>106</v>
      </c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14"/>
    </row>
    <row r="41" spans="1:13" x14ac:dyDescent="0.3">
      <c r="A41" s="45" t="s">
        <v>107</v>
      </c>
      <c r="B41" s="48">
        <v>56.2</v>
      </c>
      <c r="C41" s="48">
        <v>69.5</v>
      </c>
      <c r="D41" s="48">
        <v>74.7</v>
      </c>
      <c r="E41" s="48">
        <v>96.6</v>
      </c>
      <c r="F41" s="48">
        <v>137.1</v>
      </c>
      <c r="G41" s="48">
        <v>0</v>
      </c>
      <c r="H41" s="48">
        <v>0</v>
      </c>
      <c r="I41" s="48">
        <v>0</v>
      </c>
      <c r="J41" s="48">
        <v>0</v>
      </c>
      <c r="K41" s="48">
        <v>0</v>
      </c>
      <c r="L41" s="48">
        <v>0</v>
      </c>
      <c r="M41" s="15"/>
    </row>
    <row r="42" spans="1:13" x14ac:dyDescent="0.3">
      <c r="A42" s="45" t="s">
        <v>108</v>
      </c>
      <c r="B42" s="48">
        <v>766.3</v>
      </c>
      <c r="C42" s="48">
        <v>1072.2</v>
      </c>
      <c r="D42" s="48">
        <v>878.7</v>
      </c>
      <c r="E42" s="48">
        <v>1389.1</v>
      </c>
      <c r="F42" s="48">
        <v>1176.9000000000001</v>
      </c>
      <c r="G42" s="48">
        <v>0</v>
      </c>
      <c r="H42" s="48">
        <v>0</v>
      </c>
      <c r="I42" s="48">
        <v>0</v>
      </c>
      <c r="J42" s="48">
        <v>0</v>
      </c>
      <c r="K42" s="48">
        <v>0</v>
      </c>
      <c r="L42" s="48">
        <v>0</v>
      </c>
      <c r="M42" s="15"/>
    </row>
    <row r="43" spans="1:13" x14ac:dyDescent="0.3">
      <c r="A43" s="45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15"/>
    </row>
    <row r="44" spans="1:13" x14ac:dyDescent="0.3">
      <c r="A44" s="45" t="s">
        <v>280</v>
      </c>
      <c r="B44" s="63"/>
      <c r="C44" s="63"/>
      <c r="D44" s="63"/>
      <c r="E44" s="134">
        <f>'Balance Sheet'!E5+'Balance Sheet'!E8+'Balance Sheet'!E11+'Balance Sheet'!E15-'Balance Sheet'!E39-'Balance Sheet'!E42-'Balance Sheet'!E46-'Balance Sheet'!E48-'Balance Sheet'!E49</f>
        <v>-1184.4000000000001</v>
      </c>
      <c r="F44" s="134">
        <f>'Balance Sheet'!F5+'Balance Sheet'!F8+'Balance Sheet'!F11+'Balance Sheet'!F15-'Balance Sheet'!F39-'Balance Sheet'!F42-'Balance Sheet'!F46-'Balance Sheet'!F48-'Balance Sheet'!F49</f>
        <v>-1732.6000000000008</v>
      </c>
      <c r="G44" s="134">
        <f>'Balance Sheet'!G5+'Balance Sheet'!G8+'Balance Sheet'!G11+'Balance Sheet'!G15-'Balance Sheet'!G39-'Balance Sheet'!G42-'Balance Sheet'!G46-'Balance Sheet'!G48-'Balance Sheet'!G49</f>
        <v>-1201.2993698630139</v>
      </c>
      <c r="H44" s="134">
        <f>'Balance Sheet'!H5+'Balance Sheet'!H8+'Balance Sheet'!H11+'Balance Sheet'!H15-'Balance Sheet'!H39-'Balance Sheet'!H42-'Balance Sheet'!H46-'Balance Sheet'!H48-'Balance Sheet'!H49</f>
        <v>-971.52282469947329</v>
      </c>
      <c r="I44" s="134">
        <f>'Balance Sheet'!I5+'Balance Sheet'!I8+'Balance Sheet'!I11+'Balance Sheet'!I15-'Balance Sheet'!I39-'Balance Sheet'!I42-'Balance Sheet'!I46-'Balance Sheet'!I48-'Balance Sheet'!I49</f>
        <v>-768.11654382681388</v>
      </c>
      <c r="J44" s="134">
        <f>'Balance Sheet'!J5+'Balance Sheet'!J8+'Balance Sheet'!J11+'Balance Sheet'!J15-'Balance Sheet'!J39-'Balance Sheet'!J42-'Balance Sheet'!J46-'Balance Sheet'!J48-'Balance Sheet'!J49</f>
        <v>-514.11387135460916</v>
      </c>
      <c r="K44" s="134">
        <f>'Balance Sheet'!K5+'Balance Sheet'!K8+'Balance Sheet'!K11+'Balance Sheet'!K15-'Balance Sheet'!K39-'Balance Sheet'!K42-'Balance Sheet'!K46-'Balance Sheet'!K48-'Balance Sheet'!K49</f>
        <v>-308.7901737209603</v>
      </c>
      <c r="L44" s="134">
        <f>'Balance Sheet'!L5+'Balance Sheet'!L8+'Balance Sheet'!L11+'Balance Sheet'!L15-'Balance Sheet'!L39-'Balance Sheet'!L42-'Balance Sheet'!L46-'Balance Sheet'!L48-'Balance Sheet'!L49</f>
        <v>-141.59117878830091</v>
      </c>
    </row>
    <row r="45" spans="1:13" x14ac:dyDescent="0.3">
      <c r="A45" s="191" t="s">
        <v>279</v>
      </c>
      <c r="B45" s="192"/>
      <c r="C45" s="192"/>
      <c r="D45" s="192"/>
      <c r="E45" s="192"/>
      <c r="F45" s="193">
        <f>F44-E44</f>
        <v>-548.20000000000073</v>
      </c>
      <c r="G45" s="193">
        <f>G44-F44</f>
        <v>531.30063013698691</v>
      </c>
      <c r="H45" s="193">
        <f t="shared" ref="H45:L45" si="6">H44-G44</f>
        <v>229.77654516354062</v>
      </c>
      <c r="I45" s="193">
        <f t="shared" si="6"/>
        <v>203.40628087265941</v>
      </c>
      <c r="J45" s="193">
        <f t="shared" si="6"/>
        <v>254.00267247220472</v>
      </c>
      <c r="K45" s="193">
        <f t="shared" si="6"/>
        <v>205.32369763364886</v>
      </c>
      <c r="L45" s="193">
        <f t="shared" si="6"/>
        <v>167.19899493265939</v>
      </c>
    </row>
    <row r="47" spans="1:13" x14ac:dyDescent="0.3">
      <c r="F47" s="162"/>
      <c r="G47" s="162"/>
    </row>
    <row r="48" spans="1:13" x14ac:dyDescent="0.3">
      <c r="F48" s="162"/>
      <c r="G48" s="162"/>
    </row>
  </sheetData>
  <hyperlinks>
    <hyperlink ref="A45" r:id="rId1" display="Source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69"/>
  <sheetViews>
    <sheetView showGridLines="0" workbookViewId="0">
      <pane xSplit="1" topLeftCell="B1" activePane="topRight" state="frozen"/>
      <selection activeCell="A36" sqref="A36"/>
      <selection pane="topRight" activeCell="K9" sqref="K9"/>
    </sheetView>
    <sheetView showGridLines="0" zoomScale="76" workbookViewId="1">
      <selection activeCell="AL13" sqref="AL13"/>
    </sheetView>
  </sheetViews>
  <sheetFormatPr defaultColWidth="8.77734375" defaultRowHeight="14.4" outlineLevelCol="1" x14ac:dyDescent="0.3"/>
  <cols>
    <col min="1" max="1" width="44.44140625" bestFit="1" customWidth="1"/>
    <col min="2" max="6" width="11.44140625" bestFit="1" customWidth="1"/>
    <col min="7" max="10" width="10.44140625" hidden="1" customWidth="1" outlineLevel="1"/>
    <col min="11" max="11" width="11.44140625" bestFit="1" customWidth="1" collapsed="1"/>
    <col min="12" max="14" width="9.77734375" hidden="1" customWidth="1" outlineLevel="1"/>
    <col min="15" max="15" width="10.44140625" hidden="1" customWidth="1" outlineLevel="1"/>
    <col min="16" max="16" width="10.77734375" bestFit="1" customWidth="1" collapsed="1"/>
    <col min="17" max="20" width="9.77734375" hidden="1" customWidth="1" outlineLevel="1"/>
    <col min="21" max="21" width="10.77734375" bestFit="1" customWidth="1" collapsed="1"/>
    <col min="22" max="25" width="9.77734375" hidden="1" customWidth="1" outlineLevel="1"/>
    <col min="26" max="26" width="10.77734375" bestFit="1" customWidth="1" collapsed="1"/>
    <col min="27" max="30" width="9.77734375" hidden="1" customWidth="1" outlineLevel="1"/>
    <col min="31" max="31" width="10.77734375" bestFit="1" customWidth="1" collapsed="1"/>
    <col min="32" max="34" width="9.6640625" hidden="1" customWidth="1" outlineLevel="1"/>
    <col min="35" max="35" width="10.77734375" hidden="1" customWidth="1" outlineLevel="1"/>
    <col min="36" max="36" width="10.77734375" bestFit="1" customWidth="1" collapsed="1"/>
  </cols>
  <sheetData>
    <row r="1" spans="1:36" x14ac:dyDescent="0.3">
      <c r="A1" s="42"/>
      <c r="B1" s="43" t="s">
        <v>17</v>
      </c>
      <c r="C1" s="43" t="s">
        <v>18</v>
      </c>
      <c r="D1" s="43" t="s">
        <v>19</v>
      </c>
      <c r="E1" s="43" t="s">
        <v>21</v>
      </c>
      <c r="F1" s="43" t="s">
        <v>22</v>
      </c>
      <c r="G1" s="43" t="s">
        <v>114</v>
      </c>
      <c r="H1" s="43" t="s">
        <v>115</v>
      </c>
      <c r="I1" s="43" t="s">
        <v>116</v>
      </c>
      <c r="J1" s="43" t="s">
        <v>136</v>
      </c>
      <c r="K1" s="43" t="s">
        <v>162</v>
      </c>
      <c r="L1" s="43" t="s">
        <v>137</v>
      </c>
      <c r="M1" s="43" t="s">
        <v>138</v>
      </c>
      <c r="N1" s="43" t="s">
        <v>139</v>
      </c>
      <c r="O1" s="43" t="s">
        <v>140</v>
      </c>
      <c r="P1" s="43" t="s">
        <v>118</v>
      </c>
      <c r="Q1" s="43" t="s">
        <v>141</v>
      </c>
      <c r="R1" s="43" t="s">
        <v>142</v>
      </c>
      <c r="S1" s="43" t="s">
        <v>143</v>
      </c>
      <c r="T1" s="43" t="s">
        <v>156</v>
      </c>
      <c r="U1" s="43" t="s">
        <v>119</v>
      </c>
      <c r="V1" s="43" t="s">
        <v>144</v>
      </c>
      <c r="W1" s="43" t="s">
        <v>145</v>
      </c>
      <c r="X1" s="43" t="s">
        <v>146</v>
      </c>
      <c r="Y1" s="43" t="s">
        <v>147</v>
      </c>
      <c r="Z1" s="43" t="s">
        <v>120</v>
      </c>
      <c r="AA1" s="43" t="s">
        <v>148</v>
      </c>
      <c r="AB1" s="43" t="s">
        <v>149</v>
      </c>
      <c r="AC1" s="43" t="s">
        <v>150</v>
      </c>
      <c r="AD1" s="43" t="s">
        <v>151</v>
      </c>
      <c r="AE1" s="43" t="s">
        <v>121</v>
      </c>
      <c r="AF1" s="83" t="s">
        <v>152</v>
      </c>
      <c r="AG1" s="83" t="s">
        <v>153</v>
      </c>
      <c r="AH1" s="83" t="s">
        <v>154</v>
      </c>
      <c r="AI1" s="83" t="s">
        <v>155</v>
      </c>
      <c r="AJ1" s="83" t="s">
        <v>122</v>
      </c>
    </row>
    <row r="2" spans="1:36" x14ac:dyDescent="0.3">
      <c r="A2" s="45" t="s">
        <v>1</v>
      </c>
      <c r="B2" s="46"/>
      <c r="C2" s="46"/>
      <c r="D2" s="46"/>
      <c r="E2" s="46"/>
      <c r="F2" s="46"/>
      <c r="G2" s="46"/>
      <c r="H2" s="46"/>
      <c r="I2" s="46"/>
      <c r="J2" s="46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</row>
    <row r="3" spans="1:36" x14ac:dyDescent="0.3">
      <c r="A3" s="47" t="s">
        <v>2</v>
      </c>
      <c r="B3" s="48">
        <v>12977.9</v>
      </c>
      <c r="C3" s="48">
        <v>15197.3</v>
      </c>
      <c r="D3" s="48">
        <v>16844.099999999999</v>
      </c>
      <c r="E3" s="48">
        <v>17650.7</v>
      </c>
      <c r="F3" s="48">
        <v>19690.3</v>
      </c>
      <c r="G3" s="48">
        <v>5370.3</v>
      </c>
      <c r="H3" s="48">
        <v>5159</v>
      </c>
      <c r="I3" s="48">
        <v>5535.5</v>
      </c>
      <c r="J3" s="48">
        <f>K3-G3-H3-I3</f>
        <v>5479.6000000000022</v>
      </c>
      <c r="K3" s="48">
        <v>21544.400000000001</v>
      </c>
      <c r="L3" s="84">
        <f t="shared" ref="L3:AJ3" si="0">L43+L55</f>
        <v>5682.3925351080716</v>
      </c>
      <c r="M3" s="84">
        <f t="shared" si="0"/>
        <v>5552.549945355192</v>
      </c>
      <c r="N3" s="84">
        <f t="shared" si="0"/>
        <v>5972.0921675053914</v>
      </c>
      <c r="O3" s="84">
        <f t="shared" si="0"/>
        <v>6110.1714302297487</v>
      </c>
      <c r="P3" s="84">
        <f t="shared" si="0"/>
        <v>23837.985122138671</v>
      </c>
      <c r="Q3" s="84">
        <f t="shared" si="0"/>
        <v>6135.137745639272</v>
      </c>
      <c r="R3" s="84">
        <f t="shared" si="0"/>
        <v>6050.9778098360657</v>
      </c>
      <c r="S3" s="84">
        <f t="shared" si="0"/>
        <v>6503.0768801701406</v>
      </c>
      <c r="T3" s="84">
        <f t="shared" si="0"/>
        <v>6712.9056973542956</v>
      </c>
      <c r="U3" s="84">
        <f t="shared" si="0"/>
        <v>25935.549294990684</v>
      </c>
      <c r="V3" s="84">
        <f t="shared" si="0"/>
        <v>6605.80761023578</v>
      </c>
      <c r="W3" s="84">
        <f t="shared" si="0"/>
        <v>6574.3140512349737</v>
      </c>
      <c r="X3" s="84">
        <f t="shared" si="0"/>
        <v>7060.5457926440204</v>
      </c>
      <c r="Y3" s="84">
        <f t="shared" si="0"/>
        <v>7354.0824315604395</v>
      </c>
      <c r="Z3" s="84">
        <f t="shared" si="0"/>
        <v>28143.533496240008</v>
      </c>
      <c r="AA3" s="84">
        <f t="shared" si="0"/>
        <v>7092.8502143178921</v>
      </c>
      <c r="AB3" s="84">
        <f t="shared" si="0"/>
        <v>7123.604587088962</v>
      </c>
      <c r="AC3" s="84">
        <f t="shared" si="0"/>
        <v>7645.61007067418</v>
      </c>
      <c r="AD3" s="84">
        <f t="shared" si="0"/>
        <v>8035.8126553873062</v>
      </c>
      <c r="AE3" s="84">
        <f t="shared" si="0"/>
        <v>30448.303426346949</v>
      </c>
      <c r="AF3" s="84">
        <f t="shared" si="0"/>
        <v>7596.7321995191942</v>
      </c>
      <c r="AG3" s="84">
        <f t="shared" si="0"/>
        <v>7699.9356724480804</v>
      </c>
      <c r="AH3" s="84">
        <f t="shared" si="0"/>
        <v>8259.4237141727699</v>
      </c>
      <c r="AI3" s="84">
        <f t="shared" si="0"/>
        <v>8760.3147652298267</v>
      </c>
      <c r="AJ3" s="84">
        <f t="shared" si="0"/>
        <v>32897.49448231353</v>
      </c>
    </row>
    <row r="4" spans="1:36" x14ac:dyDescent="0.3">
      <c r="A4" s="49" t="s">
        <v>35</v>
      </c>
      <c r="B4" s="50"/>
      <c r="C4" s="50">
        <f>C3/B3-1</f>
        <v>0.17101380038372915</v>
      </c>
      <c r="D4" s="50">
        <f>D3/C3-1</f>
        <v>0.10836135366150557</v>
      </c>
      <c r="E4" s="50">
        <f>E3/D3-1</f>
        <v>4.7886203477775835E-2</v>
      </c>
      <c r="F4" s="50">
        <f>F3/E3-1</f>
        <v>0.11555349079639887</v>
      </c>
      <c r="G4" s="50"/>
      <c r="H4" s="50"/>
      <c r="I4" s="50"/>
      <c r="J4" s="50"/>
      <c r="K4" s="85">
        <f>K3/F3-1</f>
        <v>9.4163115848920675E-2</v>
      </c>
      <c r="L4" s="63"/>
      <c r="M4" s="63"/>
      <c r="N4" s="63"/>
      <c r="O4" s="63"/>
      <c r="P4" s="85">
        <f>P3/K3-1</f>
        <v>0.10645852853357107</v>
      </c>
      <c r="Q4" s="63"/>
      <c r="R4" s="63"/>
      <c r="S4" s="63"/>
      <c r="T4" s="63"/>
      <c r="U4" s="85">
        <f>U3/P3-1</f>
        <v>8.7992511200285062E-2</v>
      </c>
      <c r="V4" s="63"/>
      <c r="W4" s="63"/>
      <c r="X4" s="63"/>
      <c r="Y4" s="63"/>
      <c r="Z4" s="85">
        <f>Z3/U3-1</f>
        <v>8.5133504447341135E-2</v>
      </c>
      <c r="AA4" s="63"/>
      <c r="AB4" s="63"/>
      <c r="AC4" s="63"/>
      <c r="AD4" s="63"/>
      <c r="AE4" s="85">
        <f>AE3/Z3-1</f>
        <v>8.1893410094182384E-2</v>
      </c>
      <c r="AF4" s="63"/>
      <c r="AG4" s="63"/>
      <c r="AH4" s="63"/>
      <c r="AI4" s="63"/>
      <c r="AJ4" s="85">
        <f>AJ3/AE3-1</f>
        <v>8.0437685531184355E-2</v>
      </c>
    </row>
    <row r="5" spans="1:36" x14ac:dyDescent="0.3">
      <c r="A5" s="47" t="s">
        <v>3</v>
      </c>
      <c r="B5" s="51">
        <v>1588.6</v>
      </c>
      <c r="C5" s="51">
        <v>1861.9</v>
      </c>
      <c r="D5" s="51">
        <v>2154.1999999999998</v>
      </c>
      <c r="E5" s="51">
        <v>2355</v>
      </c>
      <c r="F5" s="51">
        <v>2652.2</v>
      </c>
      <c r="G5" s="51">
        <v>737.1</v>
      </c>
      <c r="H5" s="51">
        <v>678.2</v>
      </c>
      <c r="I5" s="51">
        <v>660.6</v>
      </c>
      <c r="J5" s="51">
        <f>K5-G5-H5-I5</f>
        <v>799.1</v>
      </c>
      <c r="K5" s="51">
        <v>2875</v>
      </c>
      <c r="L5" s="84">
        <f t="shared" ref="L5:AJ5" si="1">L47+L59</f>
        <v>831.55733374008548</v>
      </c>
      <c r="M5" s="84">
        <f t="shared" si="1"/>
        <v>763.07322767530138</v>
      </c>
      <c r="N5" s="84">
        <f t="shared" si="1"/>
        <v>740.6778309472445</v>
      </c>
      <c r="O5" s="84">
        <f t="shared" si="1"/>
        <v>875.29886917122906</v>
      </c>
      <c r="P5" s="84">
        <f t="shared" si="1"/>
        <v>3284.9717680069571</v>
      </c>
      <c r="Q5" s="84">
        <f t="shared" si="1"/>
        <v>900.17674154972542</v>
      </c>
      <c r="R5" s="84">
        <f t="shared" si="1"/>
        <v>825.32139263501369</v>
      </c>
      <c r="S5" s="84">
        <f t="shared" si="1"/>
        <v>800.42099729358688</v>
      </c>
      <c r="T5" s="84">
        <f t="shared" si="1"/>
        <v>945.12273970171805</v>
      </c>
      <c r="U5" s="84">
        <f t="shared" si="1"/>
        <v>3546.7617089433502</v>
      </c>
      <c r="V5" s="84">
        <f t="shared" si="1"/>
        <v>971.20830273825504</v>
      </c>
      <c r="W5" s="84">
        <f t="shared" si="1"/>
        <v>889.75425490204441</v>
      </c>
      <c r="X5" s="84">
        <f t="shared" si="1"/>
        <v>862.25761916140414</v>
      </c>
      <c r="Y5" s="84">
        <f t="shared" si="1"/>
        <v>1017.389445505758</v>
      </c>
      <c r="Z5" s="84">
        <f t="shared" si="1"/>
        <v>3817.7240579321556</v>
      </c>
      <c r="AA5" s="84">
        <f t="shared" si="1"/>
        <v>1044.7210556777059</v>
      </c>
      <c r="AB5" s="84">
        <f t="shared" si="1"/>
        <v>956.4343031027023</v>
      </c>
      <c r="AC5" s="84">
        <f t="shared" si="1"/>
        <v>926.24753750501668</v>
      </c>
      <c r="AD5" s="84">
        <f t="shared" si="1"/>
        <v>1092.168770446079</v>
      </c>
      <c r="AE5" s="84">
        <f t="shared" si="1"/>
        <v>4098.1189314623616</v>
      </c>
      <c r="AF5" s="84">
        <f t="shared" si="1"/>
        <v>1120.7858354136395</v>
      </c>
      <c r="AG5" s="84">
        <f t="shared" si="1"/>
        <v>1025.4256515294257</v>
      </c>
      <c r="AH5" s="84">
        <f t="shared" si="1"/>
        <v>992.45214953470918</v>
      </c>
      <c r="AI5" s="84">
        <f t="shared" si="1"/>
        <v>1169.5323126058104</v>
      </c>
      <c r="AJ5" s="84">
        <f t="shared" si="1"/>
        <v>4388.2135701222378</v>
      </c>
    </row>
    <row r="6" spans="1:36" x14ac:dyDescent="0.3">
      <c r="A6" s="49" t="s">
        <v>35</v>
      </c>
      <c r="B6" s="52"/>
      <c r="C6" s="50">
        <f>C5/B5-1</f>
        <v>0.17203827269293726</v>
      </c>
      <c r="D6" s="50">
        <f>D5/C5-1</f>
        <v>0.15699017133036119</v>
      </c>
      <c r="E6" s="50">
        <f>E5/D5-1</f>
        <v>9.3213257821929352E-2</v>
      </c>
      <c r="F6" s="50">
        <f>F5/E5-1</f>
        <v>0.12619957537154991</v>
      </c>
      <c r="G6" s="50"/>
      <c r="H6" s="50"/>
      <c r="I6" s="50"/>
      <c r="J6" s="50"/>
      <c r="K6" s="85">
        <f>K5/F5-1</f>
        <v>8.4005731091169711E-2</v>
      </c>
      <c r="L6" s="63"/>
      <c r="M6" s="63"/>
      <c r="N6" s="63"/>
      <c r="O6" s="63"/>
      <c r="P6" s="85">
        <f>P5/K5-1</f>
        <v>0.14259887582850683</v>
      </c>
      <c r="Q6" s="63"/>
      <c r="R6" s="63"/>
      <c r="S6" s="63"/>
      <c r="T6" s="63"/>
      <c r="U6" s="85">
        <f>U5/P5-1</f>
        <v>7.969320877762831E-2</v>
      </c>
      <c r="V6" s="63"/>
      <c r="W6" s="63"/>
      <c r="X6" s="63"/>
      <c r="Y6" s="63"/>
      <c r="Z6" s="85">
        <f>Z5/U5-1</f>
        <v>7.6397111287617392E-2</v>
      </c>
      <c r="AA6" s="63"/>
      <c r="AB6" s="63"/>
      <c r="AC6" s="63"/>
      <c r="AD6" s="63"/>
      <c r="AE6" s="85">
        <f>AE5/Z5-1</f>
        <v>7.3445557949015416E-2</v>
      </c>
      <c r="AF6" s="63"/>
      <c r="AG6" s="63"/>
      <c r="AH6" s="63"/>
      <c r="AI6" s="63"/>
      <c r="AJ6" s="85">
        <f>AJ5/AE5-1</f>
        <v>7.0787266917204716E-2</v>
      </c>
    </row>
    <row r="7" spans="1:36" x14ac:dyDescent="0.3">
      <c r="A7" s="47" t="s">
        <v>4</v>
      </c>
      <c r="B7" s="51">
        <v>1881.3</v>
      </c>
      <c r="C7" s="51">
        <v>2103.5</v>
      </c>
      <c r="D7" s="51">
        <v>2317.6</v>
      </c>
      <c r="E7" s="51">
        <v>2381.1</v>
      </c>
      <c r="F7" s="51">
        <v>2377</v>
      </c>
      <c r="G7" s="51">
        <v>525.29999999999995</v>
      </c>
      <c r="H7" s="51">
        <v>468.7</v>
      </c>
      <c r="I7" s="51">
        <v>589.29999999999995</v>
      </c>
      <c r="J7" s="51">
        <f>K7-G7-H7-I7</f>
        <v>505.89999999999986</v>
      </c>
      <c r="K7" s="51">
        <v>2089.1999999999998</v>
      </c>
      <c r="L7" s="84">
        <f>L61</f>
        <v>530.553</v>
      </c>
      <c r="M7" s="84">
        <f>M61</f>
        <v>473.387</v>
      </c>
      <c r="N7" s="84">
        <f>N61</f>
        <v>595.19299999999998</v>
      </c>
      <c r="O7" s="84">
        <f>O61</f>
        <v>510.95899999999989</v>
      </c>
      <c r="P7" s="84">
        <f>P61</f>
        <v>2110.0920000000001</v>
      </c>
      <c r="Q7" s="84">
        <f t="shared" ref="Q7:AJ7" si="2">Q61</f>
        <v>535.85852999999997</v>
      </c>
      <c r="R7" s="84">
        <f t="shared" si="2"/>
        <v>478.12087000000002</v>
      </c>
      <c r="S7" s="84">
        <f t="shared" si="2"/>
        <v>601.14493000000004</v>
      </c>
      <c r="T7" s="84">
        <f t="shared" si="2"/>
        <v>516.06858999999986</v>
      </c>
      <c r="U7" s="84">
        <f t="shared" si="2"/>
        <v>2131.19292</v>
      </c>
      <c r="V7" s="84">
        <f t="shared" si="2"/>
        <v>541.21711529999993</v>
      </c>
      <c r="W7" s="84">
        <f t="shared" si="2"/>
        <v>482.9020787</v>
      </c>
      <c r="X7" s="84">
        <f t="shared" si="2"/>
        <v>607.15637930000003</v>
      </c>
      <c r="Y7" s="84">
        <f t="shared" si="2"/>
        <v>521.22927589999983</v>
      </c>
      <c r="Z7" s="84">
        <f t="shared" si="2"/>
        <v>2152.5048491999996</v>
      </c>
      <c r="AA7" s="84">
        <f t="shared" si="2"/>
        <v>546.62928645299996</v>
      </c>
      <c r="AB7" s="84">
        <f t="shared" si="2"/>
        <v>487.73109948699999</v>
      </c>
      <c r="AC7" s="84">
        <f t="shared" si="2"/>
        <v>613.22794309300002</v>
      </c>
      <c r="AD7" s="84">
        <f t="shared" si="2"/>
        <v>526.44156865899981</v>
      </c>
      <c r="AE7" s="84">
        <f t="shared" si="2"/>
        <v>2174.0298976919998</v>
      </c>
      <c r="AF7" s="84">
        <f t="shared" si="2"/>
        <v>552.09557931753</v>
      </c>
      <c r="AG7" s="84">
        <f t="shared" si="2"/>
        <v>492.60841048187001</v>
      </c>
      <c r="AH7" s="84">
        <f t="shared" si="2"/>
        <v>619.36022252393002</v>
      </c>
      <c r="AI7" s="84">
        <f t="shared" si="2"/>
        <v>531.70598434558985</v>
      </c>
      <c r="AJ7" s="84">
        <f t="shared" si="2"/>
        <v>2195.7701966689201</v>
      </c>
    </row>
    <row r="8" spans="1:36" x14ac:dyDescent="0.3">
      <c r="A8" s="49" t="s">
        <v>35</v>
      </c>
      <c r="B8" s="52"/>
      <c r="C8" s="50">
        <f>C7/B7-1</f>
        <v>0.11810981767926432</v>
      </c>
      <c r="D8" s="50">
        <f>D7/C7-1</f>
        <v>0.10178274304730217</v>
      </c>
      <c r="E8" s="50">
        <f>E7/D7-1</f>
        <v>2.7399033482913282E-2</v>
      </c>
      <c r="F8" s="50">
        <f>F7/E7-1</f>
        <v>-1.7218932426189548E-3</v>
      </c>
      <c r="G8" s="50"/>
      <c r="H8" s="50"/>
      <c r="I8" s="50"/>
      <c r="J8" s="50"/>
      <c r="K8" s="85">
        <f>K7/F7-1</f>
        <v>-0.12107698779974763</v>
      </c>
      <c r="L8" s="63"/>
      <c r="M8" s="63"/>
      <c r="N8" s="63"/>
      <c r="O8" s="63"/>
      <c r="P8" s="85">
        <f>P7/K7-1</f>
        <v>1.0000000000000231E-2</v>
      </c>
      <c r="Q8" s="63"/>
      <c r="R8" s="63"/>
      <c r="S8" s="63"/>
      <c r="T8" s="63"/>
      <c r="U8" s="85">
        <f>U7/P7-1</f>
        <v>1.0000000000000009E-2</v>
      </c>
      <c r="V8" s="63"/>
      <c r="W8" s="63"/>
      <c r="X8" s="63"/>
      <c r="Y8" s="63"/>
      <c r="Z8" s="85">
        <f>Z7/U7-1</f>
        <v>9.9999999999997868E-3</v>
      </c>
      <c r="AA8" s="63"/>
      <c r="AB8" s="63"/>
      <c r="AC8" s="63"/>
      <c r="AD8" s="63"/>
      <c r="AE8" s="85">
        <f>AE7/Z7-1</f>
        <v>1.0000000000000009E-2</v>
      </c>
      <c r="AF8" s="63"/>
      <c r="AG8" s="63"/>
      <c r="AH8" s="63"/>
      <c r="AI8" s="63"/>
      <c r="AJ8" s="85">
        <f>AJ7/AE7-1</f>
        <v>1.0000000000000009E-2</v>
      </c>
    </row>
    <row r="9" spans="1:36" s="8" customFormat="1" x14ac:dyDescent="0.3">
      <c r="A9" s="86" t="s">
        <v>5</v>
      </c>
      <c r="B9" s="87">
        <f t="shared" ref="B9:K9" si="3">B3+B5+B7</f>
        <v>16447.8</v>
      </c>
      <c r="C9" s="87">
        <f t="shared" si="3"/>
        <v>19162.7</v>
      </c>
      <c r="D9" s="87">
        <f t="shared" si="3"/>
        <v>21315.899999999998</v>
      </c>
      <c r="E9" s="87">
        <f t="shared" si="3"/>
        <v>22386.799999999999</v>
      </c>
      <c r="F9" s="87">
        <f t="shared" si="3"/>
        <v>24719.5</v>
      </c>
      <c r="G9" s="87">
        <f t="shared" si="3"/>
        <v>6632.7000000000007</v>
      </c>
      <c r="H9" s="87">
        <f t="shared" si="3"/>
        <v>6305.9</v>
      </c>
      <c r="I9" s="87">
        <f t="shared" si="3"/>
        <v>6785.4000000000005</v>
      </c>
      <c r="J9" s="87">
        <f>K9-G9-H9-I9</f>
        <v>6784.6000000000013</v>
      </c>
      <c r="K9" s="87">
        <f t="shared" si="3"/>
        <v>26508.600000000002</v>
      </c>
      <c r="L9" s="64">
        <f>L64</f>
        <v>7044.502868848157</v>
      </c>
      <c r="M9" s="64">
        <f>M64</f>
        <v>6789.0101730304932</v>
      </c>
      <c r="N9" s="64">
        <f>N64</f>
        <v>7307.9629984526355</v>
      </c>
      <c r="O9" s="64">
        <f>O64</f>
        <v>7496.4292994009775</v>
      </c>
      <c r="P9" s="64">
        <f>P64</f>
        <v>29233.048890145627</v>
      </c>
      <c r="Q9" s="64">
        <f t="shared" ref="Q9:AJ9" si="4">Q64</f>
        <v>7571.1730171889976</v>
      </c>
      <c r="R9" s="64">
        <f t="shared" si="4"/>
        <v>7354.4200724710799</v>
      </c>
      <c r="S9" s="64">
        <f t="shared" si="4"/>
        <v>7904.6428074637279</v>
      </c>
      <c r="T9" s="64">
        <f t="shared" si="4"/>
        <v>8174.0970270560138</v>
      </c>
      <c r="U9" s="64">
        <f t="shared" si="4"/>
        <v>31613.503923934033</v>
      </c>
      <c r="V9" s="64">
        <f t="shared" si="4"/>
        <v>8118.233028274035</v>
      </c>
      <c r="W9" s="64">
        <f t="shared" si="4"/>
        <v>7946.9703848370182</v>
      </c>
      <c r="X9" s="64">
        <f t="shared" si="4"/>
        <v>8529.9597911054243</v>
      </c>
      <c r="Y9" s="64">
        <f t="shared" si="4"/>
        <v>8892.7011529661959</v>
      </c>
      <c r="Z9" s="64">
        <f t="shared" si="4"/>
        <v>34113.762403372166</v>
      </c>
      <c r="AA9" s="64">
        <f t="shared" si="4"/>
        <v>8684.2005564485971</v>
      </c>
      <c r="AB9" s="64">
        <f t="shared" si="4"/>
        <v>8567.7699896786653</v>
      </c>
      <c r="AC9" s="64">
        <f t="shared" si="4"/>
        <v>9185.0855512721955</v>
      </c>
      <c r="AD9" s="64">
        <f t="shared" si="4"/>
        <v>9654.4229944923864</v>
      </c>
      <c r="AE9" s="64">
        <f t="shared" si="4"/>
        <v>36720.45225550131</v>
      </c>
      <c r="AF9" s="64">
        <f t="shared" si="4"/>
        <v>9269.6136142503638</v>
      </c>
      <c r="AG9" s="64">
        <f t="shared" si="4"/>
        <v>9217.9697344593751</v>
      </c>
      <c r="AH9" s="64">
        <f t="shared" si="4"/>
        <v>9871.236086231409</v>
      </c>
      <c r="AI9" s="64">
        <f t="shared" si="4"/>
        <v>10461.553062181227</v>
      </c>
      <c r="AJ9" s="64">
        <f t="shared" si="4"/>
        <v>39481.478249104694</v>
      </c>
    </row>
    <row r="10" spans="1:36" s="28" customFormat="1" x14ac:dyDescent="0.3">
      <c r="A10" s="88" t="s">
        <v>35</v>
      </c>
      <c r="B10" s="89"/>
      <c r="C10" s="89">
        <f>C9/B9-1</f>
        <v>0.16506158878391042</v>
      </c>
      <c r="D10" s="89">
        <f>D9/C9-1</f>
        <v>0.1123641240534996</v>
      </c>
      <c r="E10" s="89">
        <f>E9/D9-1</f>
        <v>5.0239492585347101E-2</v>
      </c>
      <c r="F10" s="89">
        <f>F9/E9-1</f>
        <v>0.10419979630853904</v>
      </c>
      <c r="G10" s="89"/>
      <c r="H10" s="89"/>
      <c r="I10" s="89"/>
      <c r="J10" s="89"/>
      <c r="K10" s="85">
        <f>K9/F9-1</f>
        <v>7.2376059386314529E-2</v>
      </c>
      <c r="L10" s="85"/>
      <c r="M10" s="85"/>
      <c r="N10" s="85"/>
      <c r="O10" s="85"/>
      <c r="P10" s="85">
        <f>P9/K9-1</f>
        <v>0.10277603834776738</v>
      </c>
      <c r="Q10" s="85"/>
      <c r="R10" s="85"/>
      <c r="S10" s="85"/>
      <c r="T10" s="85"/>
      <c r="U10" s="85">
        <f>U9/P9-1</f>
        <v>8.1430268964892472E-2</v>
      </c>
      <c r="V10" s="85"/>
      <c r="W10" s="85"/>
      <c r="X10" s="85"/>
      <c r="Y10" s="85"/>
      <c r="Z10" s="85">
        <f>Z9/U9-1</f>
        <v>7.9088306233123129E-2</v>
      </c>
      <c r="AA10" s="85"/>
      <c r="AB10" s="85"/>
      <c r="AC10" s="85"/>
      <c r="AD10" s="85"/>
      <c r="AE10" s="85">
        <f>AE9/Z9-1</f>
        <v>7.64116787033573E-2</v>
      </c>
      <c r="AF10" s="85"/>
      <c r="AG10" s="85"/>
      <c r="AH10" s="85"/>
      <c r="AI10" s="85"/>
      <c r="AJ10" s="85">
        <f>AJ9/AE9-1</f>
        <v>7.5190413625413344E-2</v>
      </c>
    </row>
    <row r="11" spans="1:36" x14ac:dyDescent="0.3">
      <c r="A11" s="56"/>
      <c r="B11" s="52"/>
      <c r="C11" s="50"/>
      <c r="D11" s="50"/>
      <c r="E11" s="50"/>
      <c r="F11" s="50"/>
      <c r="G11" s="50"/>
      <c r="H11" s="50"/>
      <c r="I11" s="50"/>
      <c r="J11" s="50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</row>
    <row r="12" spans="1:36" s="37" customFormat="1" x14ac:dyDescent="0.3">
      <c r="A12" s="70" t="s">
        <v>157</v>
      </c>
      <c r="B12" s="90"/>
      <c r="C12" s="91"/>
      <c r="D12" s="91"/>
      <c r="E12" s="91"/>
      <c r="F12" s="91"/>
      <c r="G12" s="91"/>
      <c r="H12" s="91"/>
      <c r="I12" s="91"/>
      <c r="J12" s="91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</row>
    <row r="13" spans="1:36" x14ac:dyDescent="0.3">
      <c r="A13" s="47" t="s">
        <v>159</v>
      </c>
      <c r="B13" s="52"/>
      <c r="C13" s="50"/>
      <c r="D13" s="50"/>
      <c r="E13" s="50"/>
      <c r="F13" s="50"/>
      <c r="G13" s="50"/>
      <c r="H13" s="50"/>
      <c r="I13" s="50"/>
      <c r="J13" s="50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</row>
    <row r="14" spans="1:36" x14ac:dyDescent="0.3">
      <c r="A14" s="75" t="s">
        <v>158</v>
      </c>
      <c r="B14" s="93">
        <v>317</v>
      </c>
      <c r="C14" s="93">
        <v>277</v>
      </c>
      <c r="D14" s="93">
        <v>348</v>
      </c>
      <c r="E14" s="93">
        <v>395</v>
      </c>
      <c r="F14" s="93">
        <v>275</v>
      </c>
      <c r="G14" s="93">
        <v>84</v>
      </c>
      <c r="H14" s="94">
        <v>-1</v>
      </c>
      <c r="I14" s="94">
        <v>82</v>
      </c>
      <c r="J14" s="94">
        <v>117</v>
      </c>
      <c r="K14" s="95">
        <f>SUM(G14:J14)</f>
        <v>282</v>
      </c>
      <c r="L14" s="96">
        <v>75</v>
      </c>
      <c r="M14" s="96">
        <v>75</v>
      </c>
      <c r="N14" s="96">
        <v>75</v>
      </c>
      <c r="O14" s="96">
        <v>75</v>
      </c>
      <c r="P14" s="93">
        <f>L14+M14+O14+N14</f>
        <v>300</v>
      </c>
      <c r="Q14" s="96">
        <v>75</v>
      </c>
      <c r="R14" s="96">
        <v>75</v>
      </c>
      <c r="S14" s="96">
        <v>75</v>
      </c>
      <c r="T14" s="96">
        <v>75</v>
      </c>
      <c r="U14" s="93">
        <f>Q14+R14+T14+S14</f>
        <v>300</v>
      </c>
      <c r="V14" s="96">
        <v>75</v>
      </c>
      <c r="W14" s="96">
        <v>75</v>
      </c>
      <c r="X14" s="96">
        <v>75</v>
      </c>
      <c r="Y14" s="96">
        <v>75</v>
      </c>
      <c r="Z14" s="93">
        <f>V14+W14+Y14+X14</f>
        <v>300</v>
      </c>
      <c r="AA14" s="96">
        <v>75</v>
      </c>
      <c r="AB14" s="96">
        <v>75</v>
      </c>
      <c r="AC14" s="96">
        <v>75</v>
      </c>
      <c r="AD14" s="96">
        <v>75</v>
      </c>
      <c r="AE14" s="93">
        <f>AA14+AB14+AD14+AC14</f>
        <v>300</v>
      </c>
      <c r="AF14" s="96">
        <v>75</v>
      </c>
      <c r="AG14" s="96">
        <v>75</v>
      </c>
      <c r="AH14" s="96">
        <v>75</v>
      </c>
      <c r="AI14" s="96">
        <v>75</v>
      </c>
      <c r="AJ14" s="93">
        <f>AF14+AG14+AI14+AH14</f>
        <v>300</v>
      </c>
    </row>
    <row r="15" spans="1:36" x14ac:dyDescent="0.3">
      <c r="A15" s="75" t="s">
        <v>3</v>
      </c>
      <c r="B15" s="93">
        <v>381</v>
      </c>
      <c r="C15" s="93">
        <v>336</v>
      </c>
      <c r="D15" s="93">
        <v>456</v>
      </c>
      <c r="E15" s="93">
        <v>558</v>
      </c>
      <c r="F15" s="93">
        <v>624</v>
      </c>
      <c r="G15" s="93">
        <v>106</v>
      </c>
      <c r="H15" s="94">
        <v>67</v>
      </c>
      <c r="I15" s="94">
        <v>53</v>
      </c>
      <c r="J15" s="94">
        <v>97</v>
      </c>
      <c r="K15" s="95">
        <f>SUM(G15:J15)</f>
        <v>323</v>
      </c>
      <c r="L15" s="96">
        <v>75</v>
      </c>
      <c r="M15" s="96">
        <v>75</v>
      </c>
      <c r="N15" s="96">
        <v>75</v>
      </c>
      <c r="O15" s="96">
        <v>75</v>
      </c>
      <c r="P15" s="93">
        <f>L15+M15+O15+N15</f>
        <v>300</v>
      </c>
      <c r="Q15" s="96">
        <v>75</v>
      </c>
      <c r="R15" s="96">
        <v>75</v>
      </c>
      <c r="S15" s="96">
        <v>75</v>
      </c>
      <c r="T15" s="96">
        <v>75</v>
      </c>
      <c r="U15" s="93">
        <f>Q15+R15+T15+S15</f>
        <v>300</v>
      </c>
      <c r="V15" s="96">
        <v>75</v>
      </c>
      <c r="W15" s="96">
        <v>75</v>
      </c>
      <c r="X15" s="96">
        <v>75</v>
      </c>
      <c r="Y15" s="96">
        <v>75</v>
      </c>
      <c r="Z15" s="93">
        <f>V15+W15+Y15+X15</f>
        <v>300</v>
      </c>
      <c r="AA15" s="96">
        <v>75</v>
      </c>
      <c r="AB15" s="96">
        <v>75</v>
      </c>
      <c r="AC15" s="96">
        <v>75</v>
      </c>
      <c r="AD15" s="96">
        <v>75</v>
      </c>
      <c r="AE15" s="93">
        <f>AA15+AB15+AD15+AC15</f>
        <v>300</v>
      </c>
      <c r="AF15" s="96">
        <v>75</v>
      </c>
      <c r="AG15" s="96">
        <v>75</v>
      </c>
      <c r="AH15" s="96">
        <v>75</v>
      </c>
      <c r="AI15" s="96">
        <v>75</v>
      </c>
      <c r="AJ15" s="93">
        <f>AF15+AG15+AI15+AH15</f>
        <v>300</v>
      </c>
    </row>
    <row r="16" spans="1:36" x14ac:dyDescent="0.3">
      <c r="A16" s="47" t="s">
        <v>175</v>
      </c>
      <c r="B16" s="93"/>
      <c r="C16" s="93"/>
      <c r="D16" s="93"/>
      <c r="E16" s="93"/>
      <c r="F16" s="93"/>
      <c r="G16" s="94"/>
      <c r="H16" s="94"/>
      <c r="I16" s="94"/>
      <c r="J16" s="94"/>
      <c r="K16" s="95"/>
      <c r="L16" s="95"/>
      <c r="M16" s="95"/>
      <c r="N16" s="95"/>
      <c r="O16" s="95"/>
      <c r="P16" s="93"/>
      <c r="Q16" s="95"/>
      <c r="R16" s="95"/>
      <c r="S16" s="95"/>
      <c r="T16" s="95"/>
      <c r="U16" s="93"/>
      <c r="V16" s="95"/>
      <c r="W16" s="95"/>
      <c r="X16" s="95"/>
      <c r="Y16" s="95"/>
      <c r="Z16" s="93"/>
      <c r="AA16" s="95"/>
      <c r="AB16" s="95"/>
      <c r="AC16" s="95"/>
      <c r="AD16" s="95"/>
      <c r="AE16" s="93"/>
      <c r="AF16" s="95"/>
      <c r="AG16" s="95"/>
      <c r="AH16" s="95"/>
      <c r="AI16" s="95"/>
      <c r="AJ16" s="93"/>
    </row>
    <row r="17" spans="1:36" x14ac:dyDescent="0.3">
      <c r="A17" s="75" t="s">
        <v>158</v>
      </c>
      <c r="B17" s="93">
        <f>250+9</f>
        <v>259</v>
      </c>
      <c r="C17" s="93">
        <f>1320-80</f>
        <v>1240</v>
      </c>
      <c r="D17" s="93">
        <f>359+-214</f>
        <v>145</v>
      </c>
      <c r="E17" s="93">
        <f>259+-21</f>
        <v>238</v>
      </c>
      <c r="F17" s="93">
        <f>2089+-12</f>
        <v>2077</v>
      </c>
      <c r="G17" s="94">
        <f>191+-3</f>
        <v>188</v>
      </c>
      <c r="H17" s="94">
        <f>133+-95</f>
        <v>38</v>
      </c>
      <c r="I17" s="94">
        <f>-217+-16</f>
        <v>-233</v>
      </c>
      <c r="J17" s="94">
        <f>200+14</f>
        <v>214</v>
      </c>
      <c r="K17" s="95">
        <f>SUM(G17:J17)</f>
        <v>207</v>
      </c>
      <c r="L17" s="96">
        <v>175</v>
      </c>
      <c r="M17" s="96">
        <v>175</v>
      </c>
      <c r="N17" s="96">
        <v>175</v>
      </c>
      <c r="O17" s="96">
        <v>175</v>
      </c>
      <c r="P17" s="93">
        <f>L17+M17+O17+N17</f>
        <v>700</v>
      </c>
      <c r="Q17" s="96">
        <v>175</v>
      </c>
      <c r="R17" s="96">
        <v>175</v>
      </c>
      <c r="S17" s="96">
        <v>175</v>
      </c>
      <c r="T17" s="96">
        <v>175</v>
      </c>
      <c r="U17" s="93">
        <f>Q17+R17+T17+S17</f>
        <v>700</v>
      </c>
      <c r="V17" s="96">
        <v>175</v>
      </c>
      <c r="W17" s="96">
        <v>175</v>
      </c>
      <c r="X17" s="96">
        <v>175</v>
      </c>
      <c r="Y17" s="96">
        <v>175</v>
      </c>
      <c r="Z17" s="93">
        <f>V17+W17+Y17+X17</f>
        <v>700</v>
      </c>
      <c r="AA17" s="96">
        <v>175</v>
      </c>
      <c r="AB17" s="96">
        <v>175</v>
      </c>
      <c r="AC17" s="96">
        <v>175</v>
      </c>
      <c r="AD17" s="96">
        <v>175</v>
      </c>
      <c r="AE17" s="93">
        <f>AA17+AB17+AD17+AC17</f>
        <v>700</v>
      </c>
      <c r="AF17" s="96">
        <v>175</v>
      </c>
      <c r="AG17" s="96">
        <v>175</v>
      </c>
      <c r="AH17" s="96">
        <v>175</v>
      </c>
      <c r="AI17" s="96">
        <v>175</v>
      </c>
      <c r="AJ17" s="93">
        <f>AF17+AG17+AI17+AH17</f>
        <v>700</v>
      </c>
    </row>
    <row r="18" spans="1:36" x14ac:dyDescent="0.3">
      <c r="A18" s="75" t="s">
        <v>3</v>
      </c>
      <c r="B18" s="93">
        <f>492+180</f>
        <v>672</v>
      </c>
      <c r="C18" s="93">
        <f>-482+302</f>
        <v>-180</v>
      </c>
      <c r="D18" s="93">
        <f>622+494</f>
        <v>1116</v>
      </c>
      <c r="E18" s="93">
        <f>777+353</f>
        <v>1130</v>
      </c>
      <c r="F18" s="93">
        <f>1038+358</f>
        <v>1396</v>
      </c>
      <c r="G18" s="94">
        <f>68+104</f>
        <v>172</v>
      </c>
      <c r="H18" s="94">
        <f>71+142</f>
        <v>213</v>
      </c>
      <c r="I18" s="94">
        <f>470+71</f>
        <v>541</v>
      </c>
      <c r="J18" s="94">
        <f>71+131</f>
        <v>202</v>
      </c>
      <c r="K18" s="95">
        <f>SUM(G18:J18)</f>
        <v>1128</v>
      </c>
      <c r="L18" s="96">
        <v>175</v>
      </c>
      <c r="M18" s="96">
        <v>175</v>
      </c>
      <c r="N18" s="96">
        <v>175</v>
      </c>
      <c r="O18" s="96">
        <v>175</v>
      </c>
      <c r="P18" s="93">
        <f>L18+M18+O18+N18</f>
        <v>700</v>
      </c>
      <c r="Q18" s="96">
        <v>175</v>
      </c>
      <c r="R18" s="96">
        <v>175</v>
      </c>
      <c r="S18" s="96">
        <v>175</v>
      </c>
      <c r="T18" s="96">
        <v>175</v>
      </c>
      <c r="U18" s="93">
        <f>Q18+R18+T18+S18</f>
        <v>700</v>
      </c>
      <c r="V18" s="96">
        <v>175</v>
      </c>
      <c r="W18" s="96">
        <v>175</v>
      </c>
      <c r="X18" s="96">
        <v>175</v>
      </c>
      <c r="Y18" s="96">
        <v>175</v>
      </c>
      <c r="Z18" s="93">
        <f>V18+W18+Y18+X18</f>
        <v>700</v>
      </c>
      <c r="AA18" s="96">
        <v>175</v>
      </c>
      <c r="AB18" s="96">
        <v>175</v>
      </c>
      <c r="AC18" s="96">
        <v>175</v>
      </c>
      <c r="AD18" s="96">
        <v>175</v>
      </c>
      <c r="AE18" s="93">
        <f>AA18+AB18+AD18+AC18</f>
        <v>700</v>
      </c>
      <c r="AF18" s="96">
        <v>175</v>
      </c>
      <c r="AG18" s="96">
        <v>175</v>
      </c>
      <c r="AH18" s="96">
        <v>175</v>
      </c>
      <c r="AI18" s="96">
        <v>175</v>
      </c>
      <c r="AJ18" s="93">
        <f>AF18+AG18+AI18+AH18</f>
        <v>700</v>
      </c>
    </row>
    <row r="19" spans="1:36" x14ac:dyDescent="0.3">
      <c r="A19" s="47" t="s">
        <v>160</v>
      </c>
      <c r="B19" s="93"/>
      <c r="C19" s="93"/>
      <c r="D19" s="93"/>
      <c r="E19" s="93"/>
      <c r="F19" s="93"/>
      <c r="G19" s="94"/>
      <c r="H19" s="94"/>
      <c r="I19" s="94"/>
      <c r="J19" s="94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</row>
    <row r="20" spans="1:36" x14ac:dyDescent="0.3">
      <c r="A20" s="75" t="s">
        <v>158</v>
      </c>
      <c r="B20" s="93">
        <v>12</v>
      </c>
      <c r="C20" s="93">
        <v>6</v>
      </c>
      <c r="D20" s="93">
        <v>-17</v>
      </c>
      <c r="E20" s="93">
        <v>-68</v>
      </c>
      <c r="F20" s="93">
        <v>-282</v>
      </c>
      <c r="G20" s="94">
        <v>3</v>
      </c>
      <c r="H20" s="94">
        <v>2</v>
      </c>
      <c r="I20" s="94">
        <v>-1</v>
      </c>
      <c r="J20" s="94">
        <v>0</v>
      </c>
      <c r="K20" s="95">
        <f>SUM(G20:J20)</f>
        <v>4</v>
      </c>
      <c r="L20" s="96">
        <v>-12</v>
      </c>
      <c r="M20" s="96">
        <v>0</v>
      </c>
      <c r="N20" s="96">
        <v>0</v>
      </c>
      <c r="O20" s="96">
        <v>0</v>
      </c>
      <c r="P20" s="95">
        <v>0</v>
      </c>
      <c r="Q20" s="96">
        <v>0</v>
      </c>
      <c r="R20" s="96">
        <v>0</v>
      </c>
      <c r="S20" s="96">
        <v>0</v>
      </c>
      <c r="T20" s="96">
        <v>0</v>
      </c>
      <c r="U20" s="95">
        <v>0</v>
      </c>
      <c r="V20" s="96">
        <v>0</v>
      </c>
      <c r="W20" s="96">
        <v>0</v>
      </c>
      <c r="X20" s="96">
        <v>0</v>
      </c>
      <c r="Y20" s="96">
        <v>0</v>
      </c>
      <c r="Z20" s="95">
        <v>0</v>
      </c>
      <c r="AA20" s="96">
        <v>0</v>
      </c>
      <c r="AB20" s="96">
        <v>0</v>
      </c>
      <c r="AC20" s="96">
        <v>0</v>
      </c>
      <c r="AD20" s="96">
        <v>0</v>
      </c>
      <c r="AE20" s="95">
        <v>0</v>
      </c>
      <c r="AF20" s="96">
        <v>0</v>
      </c>
      <c r="AG20" s="96">
        <v>0</v>
      </c>
      <c r="AH20" s="96">
        <v>0</v>
      </c>
      <c r="AI20" s="96">
        <v>0</v>
      </c>
      <c r="AJ20" s="95">
        <v>0</v>
      </c>
    </row>
    <row r="21" spans="1:36" x14ac:dyDescent="0.3">
      <c r="A21" s="75" t="s">
        <v>3</v>
      </c>
      <c r="B21" s="93">
        <v>-24</v>
      </c>
      <c r="C21" s="93">
        <v>-1</v>
      </c>
      <c r="D21" s="93">
        <v>-6</v>
      </c>
      <c r="E21" s="93">
        <v>2</v>
      </c>
      <c r="F21" s="93">
        <v>-25</v>
      </c>
      <c r="G21" s="94">
        <v>-12</v>
      </c>
      <c r="H21" s="94">
        <v>0</v>
      </c>
      <c r="I21" s="94">
        <v>0</v>
      </c>
      <c r="J21" s="94">
        <v>0</v>
      </c>
      <c r="K21" s="95">
        <f>SUM(G21:J21)</f>
        <v>-12</v>
      </c>
      <c r="L21" s="96">
        <v>0</v>
      </c>
      <c r="M21" s="96">
        <v>0</v>
      </c>
      <c r="N21" s="96">
        <v>0</v>
      </c>
      <c r="O21" s="96">
        <v>0</v>
      </c>
      <c r="P21" s="95">
        <v>0</v>
      </c>
      <c r="Q21" s="96">
        <v>0</v>
      </c>
      <c r="R21" s="96">
        <v>0</v>
      </c>
      <c r="S21" s="96">
        <v>0</v>
      </c>
      <c r="T21" s="96">
        <v>0</v>
      </c>
      <c r="U21" s="95">
        <v>0</v>
      </c>
      <c r="V21" s="96">
        <v>0</v>
      </c>
      <c r="W21" s="96">
        <v>0</v>
      </c>
      <c r="X21" s="96">
        <v>0</v>
      </c>
      <c r="Y21" s="96">
        <v>0</v>
      </c>
      <c r="Z21" s="95">
        <v>0</v>
      </c>
      <c r="AA21" s="96">
        <v>0</v>
      </c>
      <c r="AB21" s="96">
        <v>0</v>
      </c>
      <c r="AC21" s="96">
        <v>0</v>
      </c>
      <c r="AD21" s="96">
        <v>0</v>
      </c>
      <c r="AE21" s="95">
        <v>0</v>
      </c>
      <c r="AF21" s="96">
        <v>0</v>
      </c>
      <c r="AG21" s="96">
        <v>0</v>
      </c>
      <c r="AH21" s="96">
        <v>0</v>
      </c>
      <c r="AI21" s="96">
        <v>0</v>
      </c>
      <c r="AJ21" s="95">
        <v>0</v>
      </c>
    </row>
    <row r="22" spans="1:36" x14ac:dyDescent="0.3">
      <c r="A22" s="75"/>
      <c r="B22" s="93"/>
      <c r="C22" s="93"/>
      <c r="D22" s="93"/>
      <c r="E22" s="93"/>
      <c r="F22" s="93"/>
      <c r="G22" s="94"/>
      <c r="H22" s="94"/>
      <c r="I22" s="94"/>
      <c r="J22" s="94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</row>
    <row r="23" spans="1:36" x14ac:dyDescent="0.3">
      <c r="A23" s="53" t="s">
        <v>173</v>
      </c>
      <c r="B23" s="93">
        <f t="shared" ref="B23:AJ23" si="5">B14+B17+B20</f>
        <v>588</v>
      </c>
      <c r="C23" s="93">
        <f t="shared" si="5"/>
        <v>1523</v>
      </c>
      <c r="D23" s="93">
        <f t="shared" si="5"/>
        <v>476</v>
      </c>
      <c r="E23" s="93">
        <f t="shared" si="5"/>
        <v>565</v>
      </c>
      <c r="F23" s="93">
        <f t="shared" si="5"/>
        <v>2070</v>
      </c>
      <c r="G23" s="93">
        <f t="shared" si="5"/>
        <v>275</v>
      </c>
      <c r="H23" s="93">
        <f t="shared" si="5"/>
        <v>39</v>
      </c>
      <c r="I23" s="93">
        <f t="shared" si="5"/>
        <v>-152</v>
      </c>
      <c r="J23" s="93">
        <f t="shared" si="5"/>
        <v>331</v>
      </c>
      <c r="K23" s="93">
        <f t="shared" si="5"/>
        <v>493</v>
      </c>
      <c r="L23" s="93">
        <f t="shared" si="5"/>
        <v>238</v>
      </c>
      <c r="M23" s="93">
        <f t="shared" si="5"/>
        <v>250</v>
      </c>
      <c r="N23" s="93">
        <f t="shared" si="5"/>
        <v>250</v>
      </c>
      <c r="O23" s="93">
        <f t="shared" si="5"/>
        <v>250</v>
      </c>
      <c r="P23" s="93">
        <f t="shared" si="5"/>
        <v>1000</v>
      </c>
      <c r="Q23" s="93">
        <f t="shared" si="5"/>
        <v>250</v>
      </c>
      <c r="R23" s="93">
        <f t="shared" si="5"/>
        <v>250</v>
      </c>
      <c r="S23" s="93">
        <f t="shared" si="5"/>
        <v>250</v>
      </c>
      <c r="T23" s="93">
        <f t="shared" si="5"/>
        <v>250</v>
      </c>
      <c r="U23" s="93">
        <f t="shared" si="5"/>
        <v>1000</v>
      </c>
      <c r="V23" s="93">
        <f t="shared" si="5"/>
        <v>250</v>
      </c>
      <c r="W23" s="93">
        <f t="shared" si="5"/>
        <v>250</v>
      </c>
      <c r="X23" s="93">
        <f t="shared" si="5"/>
        <v>250</v>
      </c>
      <c r="Y23" s="93">
        <f t="shared" si="5"/>
        <v>250</v>
      </c>
      <c r="Z23" s="93">
        <f t="shared" si="5"/>
        <v>1000</v>
      </c>
      <c r="AA23" s="93">
        <f t="shared" si="5"/>
        <v>250</v>
      </c>
      <c r="AB23" s="93">
        <f t="shared" si="5"/>
        <v>250</v>
      </c>
      <c r="AC23" s="93">
        <f t="shared" si="5"/>
        <v>250</v>
      </c>
      <c r="AD23" s="93">
        <f t="shared" si="5"/>
        <v>250</v>
      </c>
      <c r="AE23" s="93">
        <f t="shared" si="5"/>
        <v>1000</v>
      </c>
      <c r="AF23" s="93">
        <f t="shared" si="5"/>
        <v>250</v>
      </c>
      <c r="AG23" s="93">
        <f t="shared" si="5"/>
        <v>250</v>
      </c>
      <c r="AH23" s="93">
        <f t="shared" si="5"/>
        <v>250</v>
      </c>
      <c r="AI23" s="93">
        <f t="shared" si="5"/>
        <v>250</v>
      </c>
      <c r="AJ23" s="93">
        <f t="shared" si="5"/>
        <v>1000</v>
      </c>
    </row>
    <row r="24" spans="1:36" x14ac:dyDescent="0.3">
      <c r="A24" s="53" t="s">
        <v>174</v>
      </c>
      <c r="B24" s="93">
        <f t="shared" ref="B24:AJ24" si="6">B15+B18+B21</f>
        <v>1029</v>
      </c>
      <c r="C24" s="93">
        <f t="shared" si="6"/>
        <v>155</v>
      </c>
      <c r="D24" s="93">
        <f t="shared" si="6"/>
        <v>1566</v>
      </c>
      <c r="E24" s="93">
        <f t="shared" si="6"/>
        <v>1690</v>
      </c>
      <c r="F24" s="93">
        <f t="shared" si="6"/>
        <v>1995</v>
      </c>
      <c r="G24" s="93">
        <f t="shared" si="6"/>
        <v>266</v>
      </c>
      <c r="H24" s="93">
        <f t="shared" si="6"/>
        <v>280</v>
      </c>
      <c r="I24" s="93">
        <f t="shared" si="6"/>
        <v>594</v>
      </c>
      <c r="J24" s="93">
        <f t="shared" si="6"/>
        <v>299</v>
      </c>
      <c r="K24" s="93">
        <f t="shared" si="6"/>
        <v>1439</v>
      </c>
      <c r="L24" s="93">
        <f t="shared" si="6"/>
        <v>250</v>
      </c>
      <c r="M24" s="93">
        <f t="shared" si="6"/>
        <v>250</v>
      </c>
      <c r="N24" s="93">
        <f t="shared" si="6"/>
        <v>250</v>
      </c>
      <c r="O24" s="93">
        <f t="shared" si="6"/>
        <v>250</v>
      </c>
      <c r="P24" s="93">
        <f t="shared" si="6"/>
        <v>1000</v>
      </c>
      <c r="Q24" s="93">
        <f t="shared" si="6"/>
        <v>250</v>
      </c>
      <c r="R24" s="93">
        <f t="shared" si="6"/>
        <v>250</v>
      </c>
      <c r="S24" s="93">
        <f t="shared" si="6"/>
        <v>250</v>
      </c>
      <c r="T24" s="93">
        <f t="shared" si="6"/>
        <v>250</v>
      </c>
      <c r="U24" s="93">
        <f t="shared" si="6"/>
        <v>1000</v>
      </c>
      <c r="V24" s="93">
        <f t="shared" si="6"/>
        <v>250</v>
      </c>
      <c r="W24" s="93">
        <f t="shared" si="6"/>
        <v>250</v>
      </c>
      <c r="X24" s="93">
        <f t="shared" si="6"/>
        <v>250</v>
      </c>
      <c r="Y24" s="93">
        <f t="shared" si="6"/>
        <v>250</v>
      </c>
      <c r="Z24" s="93">
        <f t="shared" si="6"/>
        <v>1000</v>
      </c>
      <c r="AA24" s="93">
        <f t="shared" si="6"/>
        <v>250</v>
      </c>
      <c r="AB24" s="93">
        <f t="shared" si="6"/>
        <v>250</v>
      </c>
      <c r="AC24" s="93">
        <f t="shared" si="6"/>
        <v>250</v>
      </c>
      <c r="AD24" s="93">
        <f t="shared" si="6"/>
        <v>250</v>
      </c>
      <c r="AE24" s="93">
        <f t="shared" si="6"/>
        <v>1000</v>
      </c>
      <c r="AF24" s="93">
        <f t="shared" si="6"/>
        <v>250</v>
      </c>
      <c r="AG24" s="93">
        <f t="shared" si="6"/>
        <v>250</v>
      </c>
      <c r="AH24" s="93">
        <f t="shared" si="6"/>
        <v>250</v>
      </c>
      <c r="AI24" s="93">
        <f t="shared" si="6"/>
        <v>250</v>
      </c>
      <c r="AJ24" s="93">
        <f t="shared" si="6"/>
        <v>1000</v>
      </c>
    </row>
    <row r="25" spans="1:36" x14ac:dyDescent="0.3">
      <c r="A25" s="53" t="s">
        <v>161</v>
      </c>
      <c r="B25" s="93">
        <f>B23+B24</f>
        <v>1617</v>
      </c>
      <c r="C25" s="93">
        <f t="shared" ref="C25:K25" si="7">C23+C24</f>
        <v>1678</v>
      </c>
      <c r="D25" s="93">
        <f t="shared" si="7"/>
        <v>2042</v>
      </c>
      <c r="E25" s="93">
        <f t="shared" si="7"/>
        <v>2255</v>
      </c>
      <c r="F25" s="93">
        <f t="shared" si="7"/>
        <v>4065</v>
      </c>
      <c r="G25" s="93">
        <f t="shared" si="7"/>
        <v>541</v>
      </c>
      <c r="H25" s="93">
        <f t="shared" si="7"/>
        <v>319</v>
      </c>
      <c r="I25" s="93">
        <f t="shared" si="7"/>
        <v>442</v>
      </c>
      <c r="J25" s="93">
        <f t="shared" si="7"/>
        <v>630</v>
      </c>
      <c r="K25" s="93">
        <f t="shared" si="7"/>
        <v>1932</v>
      </c>
      <c r="L25" s="93">
        <f t="shared" ref="L25:AJ25" si="8">L23+L24</f>
        <v>488</v>
      </c>
      <c r="M25" s="93">
        <f t="shared" si="8"/>
        <v>500</v>
      </c>
      <c r="N25" s="93">
        <f t="shared" si="8"/>
        <v>500</v>
      </c>
      <c r="O25" s="93">
        <f t="shared" si="8"/>
        <v>500</v>
      </c>
      <c r="P25" s="93">
        <f t="shared" si="8"/>
        <v>2000</v>
      </c>
      <c r="Q25" s="93">
        <f t="shared" si="8"/>
        <v>500</v>
      </c>
      <c r="R25" s="93">
        <f t="shared" si="8"/>
        <v>500</v>
      </c>
      <c r="S25" s="93">
        <f t="shared" si="8"/>
        <v>500</v>
      </c>
      <c r="T25" s="93">
        <f t="shared" si="8"/>
        <v>500</v>
      </c>
      <c r="U25" s="93">
        <f t="shared" si="8"/>
        <v>2000</v>
      </c>
      <c r="V25" s="93">
        <f t="shared" si="8"/>
        <v>500</v>
      </c>
      <c r="W25" s="93">
        <f t="shared" si="8"/>
        <v>500</v>
      </c>
      <c r="X25" s="93">
        <f t="shared" si="8"/>
        <v>500</v>
      </c>
      <c r="Y25" s="93">
        <f t="shared" si="8"/>
        <v>500</v>
      </c>
      <c r="Z25" s="93">
        <f t="shared" si="8"/>
        <v>2000</v>
      </c>
      <c r="AA25" s="93">
        <f t="shared" si="8"/>
        <v>500</v>
      </c>
      <c r="AB25" s="93">
        <f t="shared" si="8"/>
        <v>500</v>
      </c>
      <c r="AC25" s="93">
        <f t="shared" si="8"/>
        <v>500</v>
      </c>
      <c r="AD25" s="93">
        <f t="shared" si="8"/>
        <v>500</v>
      </c>
      <c r="AE25" s="93">
        <f t="shared" si="8"/>
        <v>2000</v>
      </c>
      <c r="AF25" s="93">
        <f t="shared" si="8"/>
        <v>500</v>
      </c>
      <c r="AG25" s="93">
        <f t="shared" si="8"/>
        <v>500</v>
      </c>
      <c r="AH25" s="93">
        <f t="shared" si="8"/>
        <v>500</v>
      </c>
      <c r="AI25" s="93">
        <f t="shared" si="8"/>
        <v>500</v>
      </c>
      <c r="AJ25" s="93">
        <f t="shared" si="8"/>
        <v>2000</v>
      </c>
    </row>
    <row r="26" spans="1:36" x14ac:dyDescent="0.3">
      <c r="A26" s="53"/>
      <c r="B26" s="97"/>
      <c r="C26" s="97"/>
      <c r="D26" s="97"/>
      <c r="E26" s="97"/>
      <c r="F26" s="97"/>
      <c r="G26" s="98"/>
      <c r="H26" s="98"/>
      <c r="I26" s="98"/>
      <c r="J26" s="98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</row>
    <row r="27" spans="1:36" s="39" customFormat="1" x14ac:dyDescent="0.3">
      <c r="A27" s="70" t="s">
        <v>163</v>
      </c>
      <c r="B27" s="100"/>
      <c r="C27" s="100"/>
      <c r="D27" s="100"/>
      <c r="E27" s="100"/>
      <c r="F27" s="100"/>
      <c r="G27" s="101"/>
      <c r="H27" s="101"/>
      <c r="I27" s="101"/>
      <c r="J27" s="101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</row>
    <row r="28" spans="1:36" x14ac:dyDescent="0.3">
      <c r="A28" s="47" t="s">
        <v>159</v>
      </c>
      <c r="B28" s="97"/>
      <c r="C28" s="97"/>
      <c r="D28" s="97"/>
      <c r="E28" s="97"/>
      <c r="F28" s="97"/>
      <c r="G28" s="98"/>
      <c r="H28" s="98"/>
      <c r="I28" s="98"/>
      <c r="J28" s="98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</row>
    <row r="29" spans="1:36" x14ac:dyDescent="0.3">
      <c r="A29" s="75" t="s">
        <v>158</v>
      </c>
      <c r="B29" s="104">
        <v>8395</v>
      </c>
      <c r="C29" s="104">
        <f t="shared" ref="C29:J30" si="9">B29+C14</f>
        <v>8672</v>
      </c>
      <c r="D29" s="104">
        <f t="shared" si="9"/>
        <v>9020</v>
      </c>
      <c r="E29" s="104">
        <f t="shared" si="9"/>
        <v>9415</v>
      </c>
      <c r="F29" s="104">
        <f t="shared" si="9"/>
        <v>9690</v>
      </c>
      <c r="G29" s="104">
        <f t="shared" si="9"/>
        <v>9774</v>
      </c>
      <c r="H29" s="104">
        <f t="shared" si="9"/>
        <v>9773</v>
      </c>
      <c r="I29" s="104">
        <f t="shared" si="9"/>
        <v>9855</v>
      </c>
      <c r="J29" s="104">
        <f t="shared" si="9"/>
        <v>9972</v>
      </c>
      <c r="K29" s="104">
        <f>F29+K14</f>
        <v>9972</v>
      </c>
      <c r="L29" s="104">
        <f t="shared" ref="L29:O30" si="10">K29+L14</f>
        <v>10047</v>
      </c>
      <c r="M29" s="104">
        <f t="shared" si="10"/>
        <v>10122</v>
      </c>
      <c r="N29" s="104">
        <f t="shared" si="10"/>
        <v>10197</v>
      </c>
      <c r="O29" s="104">
        <f t="shared" si="10"/>
        <v>10272</v>
      </c>
      <c r="P29" s="104">
        <f>O29</f>
        <v>10272</v>
      </c>
      <c r="Q29" s="104">
        <f t="shared" ref="Q29:T30" si="11">P29+Q14</f>
        <v>10347</v>
      </c>
      <c r="R29" s="104">
        <f t="shared" si="11"/>
        <v>10422</v>
      </c>
      <c r="S29" s="104">
        <f t="shared" si="11"/>
        <v>10497</v>
      </c>
      <c r="T29" s="104">
        <f t="shared" si="11"/>
        <v>10572</v>
      </c>
      <c r="U29" s="104">
        <f>T29</f>
        <v>10572</v>
      </c>
      <c r="V29" s="104">
        <f t="shared" ref="V29:Y30" si="12">U29+V14</f>
        <v>10647</v>
      </c>
      <c r="W29" s="104">
        <f t="shared" si="12"/>
        <v>10722</v>
      </c>
      <c r="X29" s="104">
        <f t="shared" si="12"/>
        <v>10797</v>
      </c>
      <c r="Y29" s="104">
        <f t="shared" si="12"/>
        <v>10872</v>
      </c>
      <c r="Z29" s="104">
        <f>Y29</f>
        <v>10872</v>
      </c>
      <c r="AA29" s="104">
        <f t="shared" ref="AA29:AD30" si="13">Z29+AA14</f>
        <v>10947</v>
      </c>
      <c r="AB29" s="104">
        <f t="shared" si="13"/>
        <v>11022</v>
      </c>
      <c r="AC29" s="104">
        <f t="shared" si="13"/>
        <v>11097</v>
      </c>
      <c r="AD29" s="104">
        <f t="shared" si="13"/>
        <v>11172</v>
      </c>
      <c r="AE29" s="104">
        <f>AD29</f>
        <v>11172</v>
      </c>
      <c r="AF29" s="104">
        <f t="shared" ref="AF29:AI30" si="14">AE29+AF14</f>
        <v>11247</v>
      </c>
      <c r="AG29" s="104">
        <f t="shared" si="14"/>
        <v>11322</v>
      </c>
      <c r="AH29" s="104">
        <f t="shared" si="14"/>
        <v>11397</v>
      </c>
      <c r="AI29" s="104">
        <f t="shared" si="14"/>
        <v>11472</v>
      </c>
      <c r="AJ29" s="104">
        <f>AI29</f>
        <v>11472</v>
      </c>
    </row>
    <row r="30" spans="1:36" x14ac:dyDescent="0.3">
      <c r="A30" s="75" t="s">
        <v>3</v>
      </c>
      <c r="B30" s="104">
        <v>5796</v>
      </c>
      <c r="C30" s="104">
        <f t="shared" si="9"/>
        <v>6132</v>
      </c>
      <c r="D30" s="104">
        <f t="shared" si="9"/>
        <v>6588</v>
      </c>
      <c r="E30" s="104">
        <f t="shared" si="9"/>
        <v>7146</v>
      </c>
      <c r="F30" s="104">
        <f t="shared" si="9"/>
        <v>7770</v>
      </c>
      <c r="G30" s="104">
        <f t="shared" si="9"/>
        <v>7876</v>
      </c>
      <c r="H30" s="104">
        <f t="shared" si="9"/>
        <v>7943</v>
      </c>
      <c r="I30" s="104">
        <f t="shared" si="9"/>
        <v>7996</v>
      </c>
      <c r="J30" s="104">
        <f t="shared" si="9"/>
        <v>8093</v>
      </c>
      <c r="K30" s="104">
        <f>F30+K15</f>
        <v>8093</v>
      </c>
      <c r="L30" s="104">
        <f t="shared" si="10"/>
        <v>8168</v>
      </c>
      <c r="M30" s="104">
        <f t="shared" si="10"/>
        <v>8243</v>
      </c>
      <c r="N30" s="104">
        <f t="shared" si="10"/>
        <v>8318</v>
      </c>
      <c r="O30" s="104">
        <f t="shared" si="10"/>
        <v>8393</v>
      </c>
      <c r="P30" s="105">
        <f>O30</f>
        <v>8393</v>
      </c>
      <c r="Q30" s="104">
        <f t="shared" si="11"/>
        <v>8468</v>
      </c>
      <c r="R30" s="104">
        <f t="shared" si="11"/>
        <v>8543</v>
      </c>
      <c r="S30" s="104">
        <f t="shared" si="11"/>
        <v>8618</v>
      </c>
      <c r="T30" s="104">
        <f t="shared" si="11"/>
        <v>8693</v>
      </c>
      <c r="U30" s="105">
        <f>T30</f>
        <v>8693</v>
      </c>
      <c r="V30" s="104">
        <f t="shared" si="12"/>
        <v>8768</v>
      </c>
      <c r="W30" s="104">
        <f t="shared" si="12"/>
        <v>8843</v>
      </c>
      <c r="X30" s="104">
        <f t="shared" si="12"/>
        <v>8918</v>
      </c>
      <c r="Y30" s="104">
        <f t="shared" si="12"/>
        <v>8993</v>
      </c>
      <c r="Z30" s="105">
        <f>Y30</f>
        <v>8993</v>
      </c>
      <c r="AA30" s="104">
        <f t="shared" si="13"/>
        <v>9068</v>
      </c>
      <c r="AB30" s="104">
        <f t="shared" si="13"/>
        <v>9143</v>
      </c>
      <c r="AC30" s="104">
        <f t="shared" si="13"/>
        <v>9218</v>
      </c>
      <c r="AD30" s="104">
        <f t="shared" si="13"/>
        <v>9293</v>
      </c>
      <c r="AE30" s="105">
        <f>AD30</f>
        <v>9293</v>
      </c>
      <c r="AF30" s="104">
        <f t="shared" si="14"/>
        <v>9368</v>
      </c>
      <c r="AG30" s="104">
        <f t="shared" si="14"/>
        <v>9443</v>
      </c>
      <c r="AH30" s="104">
        <f t="shared" si="14"/>
        <v>9518</v>
      </c>
      <c r="AI30" s="104">
        <f t="shared" si="14"/>
        <v>9593</v>
      </c>
      <c r="AJ30" s="105">
        <f>AI30</f>
        <v>9593</v>
      </c>
    </row>
    <row r="31" spans="1:36" x14ac:dyDescent="0.3">
      <c r="A31" s="47" t="s">
        <v>175</v>
      </c>
      <c r="B31" s="104"/>
      <c r="C31" s="104"/>
      <c r="D31" s="104"/>
      <c r="E31" s="104"/>
      <c r="F31" s="104"/>
      <c r="G31" s="106"/>
      <c r="H31" s="106"/>
      <c r="I31" s="106"/>
      <c r="J31" s="106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</row>
    <row r="32" spans="1:36" x14ac:dyDescent="0.3">
      <c r="A32" s="75" t="s">
        <v>158</v>
      </c>
      <c r="B32" s="104">
        <v>2980</v>
      </c>
      <c r="C32" s="104">
        <f t="shared" ref="C32:J33" si="15">B32+C17</f>
        <v>4220</v>
      </c>
      <c r="D32" s="104">
        <f t="shared" si="15"/>
        <v>4365</v>
      </c>
      <c r="E32" s="104">
        <f t="shared" si="15"/>
        <v>4603</v>
      </c>
      <c r="F32" s="104">
        <f t="shared" si="15"/>
        <v>6680</v>
      </c>
      <c r="G32" s="104">
        <f t="shared" si="15"/>
        <v>6868</v>
      </c>
      <c r="H32" s="104">
        <f t="shared" si="15"/>
        <v>6906</v>
      </c>
      <c r="I32" s="104">
        <f t="shared" si="15"/>
        <v>6673</v>
      </c>
      <c r="J32" s="104">
        <f t="shared" si="15"/>
        <v>6887</v>
      </c>
      <c r="K32" s="104">
        <f>F32+K17</f>
        <v>6887</v>
      </c>
      <c r="L32" s="104">
        <f t="shared" ref="L32:O33" si="16">K32+L17</f>
        <v>7062</v>
      </c>
      <c r="M32" s="104">
        <f t="shared" si="16"/>
        <v>7237</v>
      </c>
      <c r="N32" s="104">
        <f t="shared" si="16"/>
        <v>7412</v>
      </c>
      <c r="O32" s="104">
        <f t="shared" si="16"/>
        <v>7587</v>
      </c>
      <c r="P32" s="105">
        <f>O32</f>
        <v>7587</v>
      </c>
      <c r="Q32" s="104">
        <f t="shared" ref="Q32:T33" si="17">P32+Q17</f>
        <v>7762</v>
      </c>
      <c r="R32" s="104">
        <f t="shared" si="17"/>
        <v>7937</v>
      </c>
      <c r="S32" s="104">
        <f t="shared" si="17"/>
        <v>8112</v>
      </c>
      <c r="T32" s="104">
        <f t="shared" si="17"/>
        <v>8287</v>
      </c>
      <c r="U32" s="105">
        <f>T32</f>
        <v>8287</v>
      </c>
      <c r="V32" s="104">
        <f t="shared" ref="V32:Y33" si="18">U32+V17</f>
        <v>8462</v>
      </c>
      <c r="W32" s="104">
        <f t="shared" si="18"/>
        <v>8637</v>
      </c>
      <c r="X32" s="104">
        <f t="shared" si="18"/>
        <v>8812</v>
      </c>
      <c r="Y32" s="104">
        <f t="shared" si="18"/>
        <v>8987</v>
      </c>
      <c r="Z32" s="105">
        <f>Y32</f>
        <v>8987</v>
      </c>
      <c r="AA32" s="104">
        <f t="shared" ref="AA32:AD33" si="19">Z32+AA17</f>
        <v>9162</v>
      </c>
      <c r="AB32" s="104">
        <f t="shared" si="19"/>
        <v>9337</v>
      </c>
      <c r="AC32" s="104">
        <f t="shared" si="19"/>
        <v>9512</v>
      </c>
      <c r="AD32" s="104">
        <f t="shared" si="19"/>
        <v>9687</v>
      </c>
      <c r="AE32" s="105">
        <f>AD32</f>
        <v>9687</v>
      </c>
      <c r="AF32" s="104">
        <f t="shared" ref="AF32:AI33" si="20">AE32+AF17</f>
        <v>9862</v>
      </c>
      <c r="AG32" s="104">
        <f t="shared" si="20"/>
        <v>10037</v>
      </c>
      <c r="AH32" s="104">
        <f t="shared" si="20"/>
        <v>10212</v>
      </c>
      <c r="AI32" s="104">
        <f t="shared" si="20"/>
        <v>10387</v>
      </c>
      <c r="AJ32" s="105">
        <f>AI32</f>
        <v>10387</v>
      </c>
    </row>
    <row r="33" spans="1:43" x14ac:dyDescent="0.3">
      <c r="A33" s="75" t="s">
        <v>3</v>
      </c>
      <c r="B33" s="104">
        <v>3507</v>
      </c>
      <c r="C33" s="104">
        <f t="shared" si="15"/>
        <v>3327</v>
      </c>
      <c r="D33" s="104">
        <f t="shared" si="15"/>
        <v>4443</v>
      </c>
      <c r="E33" s="104">
        <f t="shared" si="15"/>
        <v>5573</v>
      </c>
      <c r="F33" s="104">
        <f t="shared" si="15"/>
        <v>6969</v>
      </c>
      <c r="G33" s="104">
        <f t="shared" si="15"/>
        <v>7141</v>
      </c>
      <c r="H33" s="104">
        <f t="shared" si="15"/>
        <v>7354</v>
      </c>
      <c r="I33" s="104">
        <f t="shared" si="15"/>
        <v>7895</v>
      </c>
      <c r="J33" s="104">
        <f t="shared" si="15"/>
        <v>8097</v>
      </c>
      <c r="K33" s="104">
        <f>F33+K18</f>
        <v>8097</v>
      </c>
      <c r="L33" s="104">
        <f t="shared" si="16"/>
        <v>8272</v>
      </c>
      <c r="M33" s="104">
        <f t="shared" si="16"/>
        <v>8447</v>
      </c>
      <c r="N33" s="104">
        <f t="shared" si="16"/>
        <v>8622</v>
      </c>
      <c r="O33" s="104">
        <f t="shared" si="16"/>
        <v>8797</v>
      </c>
      <c r="P33" s="105">
        <f>O33</f>
        <v>8797</v>
      </c>
      <c r="Q33" s="104">
        <f t="shared" si="17"/>
        <v>8972</v>
      </c>
      <c r="R33" s="104">
        <f t="shared" si="17"/>
        <v>9147</v>
      </c>
      <c r="S33" s="104">
        <f t="shared" si="17"/>
        <v>9322</v>
      </c>
      <c r="T33" s="104">
        <f t="shared" si="17"/>
        <v>9497</v>
      </c>
      <c r="U33" s="105">
        <f>T33</f>
        <v>9497</v>
      </c>
      <c r="V33" s="104">
        <f t="shared" si="18"/>
        <v>9672</v>
      </c>
      <c r="W33" s="104">
        <f t="shared" si="18"/>
        <v>9847</v>
      </c>
      <c r="X33" s="104">
        <f t="shared" si="18"/>
        <v>10022</v>
      </c>
      <c r="Y33" s="104">
        <f t="shared" si="18"/>
        <v>10197</v>
      </c>
      <c r="Z33" s="105">
        <f>Y33</f>
        <v>10197</v>
      </c>
      <c r="AA33" s="104">
        <f t="shared" si="19"/>
        <v>10372</v>
      </c>
      <c r="AB33" s="104">
        <f t="shared" si="19"/>
        <v>10547</v>
      </c>
      <c r="AC33" s="104">
        <f t="shared" si="19"/>
        <v>10722</v>
      </c>
      <c r="AD33" s="104">
        <f t="shared" si="19"/>
        <v>10897</v>
      </c>
      <c r="AE33" s="105">
        <f>AD33</f>
        <v>10897</v>
      </c>
      <c r="AF33" s="104">
        <f t="shared" si="20"/>
        <v>11072</v>
      </c>
      <c r="AG33" s="104">
        <f t="shared" si="20"/>
        <v>11247</v>
      </c>
      <c r="AH33" s="104">
        <f t="shared" si="20"/>
        <v>11422</v>
      </c>
      <c r="AI33" s="104">
        <f t="shared" si="20"/>
        <v>11597</v>
      </c>
      <c r="AJ33" s="105">
        <f>AI33</f>
        <v>11597</v>
      </c>
    </row>
    <row r="34" spans="1:43" x14ac:dyDescent="0.3">
      <c r="A34" s="47" t="s">
        <v>160</v>
      </c>
      <c r="B34" s="104"/>
      <c r="C34" s="104"/>
      <c r="D34" s="104"/>
      <c r="E34" s="104"/>
      <c r="F34" s="104"/>
      <c r="G34" s="106"/>
      <c r="H34" s="106"/>
      <c r="I34" s="106"/>
      <c r="J34" s="106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</row>
    <row r="35" spans="1:43" x14ac:dyDescent="0.3">
      <c r="A35" s="75" t="s">
        <v>158</v>
      </c>
      <c r="B35" s="104">
        <v>369</v>
      </c>
      <c r="C35" s="104">
        <f t="shared" ref="C35:J36" si="21">B35+C20</f>
        <v>375</v>
      </c>
      <c r="D35" s="104">
        <f t="shared" si="21"/>
        <v>358</v>
      </c>
      <c r="E35" s="104">
        <f t="shared" si="21"/>
        <v>290</v>
      </c>
      <c r="F35" s="104">
        <f t="shared" si="21"/>
        <v>8</v>
      </c>
      <c r="G35" s="104">
        <f t="shared" si="21"/>
        <v>11</v>
      </c>
      <c r="H35" s="104">
        <f t="shared" si="21"/>
        <v>13</v>
      </c>
      <c r="I35" s="104">
        <f t="shared" si="21"/>
        <v>12</v>
      </c>
      <c r="J35" s="104">
        <f t="shared" si="21"/>
        <v>12</v>
      </c>
      <c r="K35" s="104">
        <f>F35+K20</f>
        <v>12</v>
      </c>
      <c r="L35" s="104">
        <f t="shared" ref="L35:O36" si="22">K35+L20</f>
        <v>0</v>
      </c>
      <c r="M35" s="104">
        <f t="shared" si="22"/>
        <v>0</v>
      </c>
      <c r="N35" s="104">
        <f t="shared" si="22"/>
        <v>0</v>
      </c>
      <c r="O35" s="104">
        <f t="shared" si="22"/>
        <v>0</v>
      </c>
      <c r="P35" s="105">
        <f>O35</f>
        <v>0</v>
      </c>
      <c r="Q35" s="104">
        <f t="shared" ref="Q35:T36" si="23">P35+Q20</f>
        <v>0</v>
      </c>
      <c r="R35" s="104">
        <f t="shared" si="23"/>
        <v>0</v>
      </c>
      <c r="S35" s="104">
        <f t="shared" si="23"/>
        <v>0</v>
      </c>
      <c r="T35" s="104">
        <f t="shared" si="23"/>
        <v>0</v>
      </c>
      <c r="U35" s="105">
        <f>T35</f>
        <v>0</v>
      </c>
      <c r="V35" s="104">
        <f t="shared" ref="V35:Y36" si="24">U35+V20</f>
        <v>0</v>
      </c>
      <c r="W35" s="104">
        <f t="shared" si="24"/>
        <v>0</v>
      </c>
      <c r="X35" s="104">
        <f t="shared" si="24"/>
        <v>0</v>
      </c>
      <c r="Y35" s="104">
        <f t="shared" si="24"/>
        <v>0</v>
      </c>
      <c r="Z35" s="105">
        <f>Y35</f>
        <v>0</v>
      </c>
      <c r="AA35" s="104">
        <f t="shared" ref="AA35:AD36" si="25">Z35+AA20</f>
        <v>0</v>
      </c>
      <c r="AB35" s="104">
        <f t="shared" si="25"/>
        <v>0</v>
      </c>
      <c r="AC35" s="104">
        <f t="shared" si="25"/>
        <v>0</v>
      </c>
      <c r="AD35" s="104">
        <f t="shared" si="25"/>
        <v>0</v>
      </c>
      <c r="AE35" s="105">
        <f>AD35</f>
        <v>0</v>
      </c>
      <c r="AF35" s="104">
        <f t="shared" ref="AF35:AI36" si="26">AE35+AF20</f>
        <v>0</v>
      </c>
      <c r="AG35" s="104">
        <f t="shared" si="26"/>
        <v>0</v>
      </c>
      <c r="AH35" s="104">
        <f t="shared" si="26"/>
        <v>0</v>
      </c>
      <c r="AI35" s="104">
        <f t="shared" si="26"/>
        <v>0</v>
      </c>
      <c r="AJ35" s="105">
        <f>AI35</f>
        <v>0</v>
      </c>
    </row>
    <row r="36" spans="1:43" x14ac:dyDescent="0.3">
      <c r="A36" s="75" t="s">
        <v>3</v>
      </c>
      <c r="B36" s="104">
        <v>42</v>
      </c>
      <c r="C36" s="104">
        <f t="shared" si="21"/>
        <v>41</v>
      </c>
      <c r="D36" s="104">
        <f t="shared" si="21"/>
        <v>35</v>
      </c>
      <c r="E36" s="104">
        <f t="shared" si="21"/>
        <v>37</v>
      </c>
      <c r="F36" s="104">
        <f t="shared" si="21"/>
        <v>12</v>
      </c>
      <c r="G36" s="104">
        <f t="shared" si="21"/>
        <v>0</v>
      </c>
      <c r="H36" s="104">
        <f t="shared" si="21"/>
        <v>0</v>
      </c>
      <c r="I36" s="104">
        <f t="shared" si="21"/>
        <v>0</v>
      </c>
      <c r="J36" s="104">
        <f t="shared" si="21"/>
        <v>0</v>
      </c>
      <c r="K36" s="104">
        <f>F36+K21</f>
        <v>0</v>
      </c>
      <c r="L36" s="104">
        <f t="shared" si="22"/>
        <v>0</v>
      </c>
      <c r="M36" s="104">
        <f t="shared" si="22"/>
        <v>0</v>
      </c>
      <c r="N36" s="104">
        <f t="shared" si="22"/>
        <v>0</v>
      </c>
      <c r="O36" s="104">
        <f t="shared" si="22"/>
        <v>0</v>
      </c>
      <c r="P36" s="105">
        <f>O36</f>
        <v>0</v>
      </c>
      <c r="Q36" s="104">
        <f t="shared" si="23"/>
        <v>0</v>
      </c>
      <c r="R36" s="104">
        <f t="shared" si="23"/>
        <v>0</v>
      </c>
      <c r="S36" s="104">
        <f t="shared" si="23"/>
        <v>0</v>
      </c>
      <c r="T36" s="104">
        <f t="shared" si="23"/>
        <v>0</v>
      </c>
      <c r="U36" s="105">
        <f>T36</f>
        <v>0</v>
      </c>
      <c r="V36" s="104">
        <f t="shared" si="24"/>
        <v>0</v>
      </c>
      <c r="W36" s="104">
        <f t="shared" si="24"/>
        <v>0</v>
      </c>
      <c r="X36" s="104">
        <f t="shared" si="24"/>
        <v>0</v>
      </c>
      <c r="Y36" s="104">
        <f t="shared" si="24"/>
        <v>0</v>
      </c>
      <c r="Z36" s="105">
        <f>Y36</f>
        <v>0</v>
      </c>
      <c r="AA36" s="104">
        <f t="shared" si="25"/>
        <v>0</v>
      </c>
      <c r="AB36" s="104">
        <f t="shared" si="25"/>
        <v>0</v>
      </c>
      <c r="AC36" s="104">
        <f t="shared" si="25"/>
        <v>0</v>
      </c>
      <c r="AD36" s="104">
        <f t="shared" si="25"/>
        <v>0</v>
      </c>
      <c r="AE36" s="105">
        <f>AD36</f>
        <v>0</v>
      </c>
      <c r="AF36" s="104">
        <f t="shared" si="26"/>
        <v>0</v>
      </c>
      <c r="AG36" s="104">
        <f t="shared" si="26"/>
        <v>0</v>
      </c>
      <c r="AH36" s="104">
        <f t="shared" si="26"/>
        <v>0</v>
      </c>
      <c r="AI36" s="104">
        <f t="shared" si="26"/>
        <v>0</v>
      </c>
      <c r="AJ36" s="105">
        <f>AI36</f>
        <v>0</v>
      </c>
    </row>
    <row r="37" spans="1:43" x14ac:dyDescent="0.3">
      <c r="A37" s="53" t="s">
        <v>165</v>
      </c>
      <c r="B37" s="104">
        <f>B29+B32+B35</f>
        <v>11744</v>
      </c>
      <c r="C37" s="104">
        <f t="shared" ref="C37:P37" si="27">C29+C32+C35</f>
        <v>13267</v>
      </c>
      <c r="D37" s="104">
        <f t="shared" si="27"/>
        <v>13743</v>
      </c>
      <c r="E37" s="104">
        <f t="shared" si="27"/>
        <v>14308</v>
      </c>
      <c r="F37" s="104">
        <f t="shared" si="27"/>
        <v>16378</v>
      </c>
      <c r="G37" s="104">
        <f t="shared" si="27"/>
        <v>16653</v>
      </c>
      <c r="H37" s="104">
        <f t="shared" si="27"/>
        <v>16692</v>
      </c>
      <c r="I37" s="104">
        <f t="shared" si="27"/>
        <v>16540</v>
      </c>
      <c r="J37" s="104">
        <f t="shared" si="27"/>
        <v>16871</v>
      </c>
      <c r="K37" s="104">
        <f t="shared" si="27"/>
        <v>16871</v>
      </c>
      <c r="L37" s="104">
        <f t="shared" si="27"/>
        <v>17109</v>
      </c>
      <c r="M37" s="104">
        <f t="shared" si="27"/>
        <v>17359</v>
      </c>
      <c r="N37" s="104">
        <f t="shared" si="27"/>
        <v>17609</v>
      </c>
      <c r="O37" s="104">
        <f t="shared" si="27"/>
        <v>17859</v>
      </c>
      <c r="P37" s="104">
        <f t="shared" si="27"/>
        <v>17859</v>
      </c>
      <c r="Q37" s="104">
        <f t="shared" ref="Q37:AJ37" si="28">Q29+Q32+Q35</f>
        <v>18109</v>
      </c>
      <c r="R37" s="104">
        <f t="shared" si="28"/>
        <v>18359</v>
      </c>
      <c r="S37" s="104">
        <f t="shared" si="28"/>
        <v>18609</v>
      </c>
      <c r="T37" s="104">
        <f t="shared" si="28"/>
        <v>18859</v>
      </c>
      <c r="U37" s="104">
        <f t="shared" si="28"/>
        <v>18859</v>
      </c>
      <c r="V37" s="104">
        <f t="shared" si="28"/>
        <v>19109</v>
      </c>
      <c r="W37" s="104">
        <f t="shared" si="28"/>
        <v>19359</v>
      </c>
      <c r="X37" s="104">
        <f t="shared" si="28"/>
        <v>19609</v>
      </c>
      <c r="Y37" s="104">
        <f t="shared" si="28"/>
        <v>19859</v>
      </c>
      <c r="Z37" s="104">
        <f t="shared" si="28"/>
        <v>19859</v>
      </c>
      <c r="AA37" s="104">
        <f t="shared" si="28"/>
        <v>20109</v>
      </c>
      <c r="AB37" s="104">
        <f t="shared" si="28"/>
        <v>20359</v>
      </c>
      <c r="AC37" s="104">
        <f t="shared" si="28"/>
        <v>20609</v>
      </c>
      <c r="AD37" s="104">
        <f t="shared" si="28"/>
        <v>20859</v>
      </c>
      <c r="AE37" s="104">
        <f t="shared" si="28"/>
        <v>20859</v>
      </c>
      <c r="AF37" s="104">
        <f t="shared" si="28"/>
        <v>21109</v>
      </c>
      <c r="AG37" s="104">
        <f t="shared" si="28"/>
        <v>21359</v>
      </c>
      <c r="AH37" s="104">
        <f t="shared" si="28"/>
        <v>21609</v>
      </c>
      <c r="AI37" s="104">
        <f t="shared" si="28"/>
        <v>21859</v>
      </c>
      <c r="AJ37" s="104">
        <f t="shared" si="28"/>
        <v>21859</v>
      </c>
    </row>
    <row r="38" spans="1:43" x14ac:dyDescent="0.3">
      <c r="A38" s="53" t="s">
        <v>166</v>
      </c>
      <c r="B38" s="104">
        <f>B30+B33+B36</f>
        <v>9345</v>
      </c>
      <c r="C38" s="104">
        <f t="shared" ref="C38:P38" si="29">C30+C33+C36</f>
        <v>9500</v>
      </c>
      <c r="D38" s="104">
        <f t="shared" si="29"/>
        <v>11066</v>
      </c>
      <c r="E38" s="104">
        <f t="shared" si="29"/>
        <v>12756</v>
      </c>
      <c r="F38" s="104">
        <f t="shared" si="29"/>
        <v>14751</v>
      </c>
      <c r="G38" s="104">
        <f t="shared" si="29"/>
        <v>15017</v>
      </c>
      <c r="H38" s="104">
        <f t="shared" si="29"/>
        <v>15297</v>
      </c>
      <c r="I38" s="104">
        <f t="shared" si="29"/>
        <v>15891</v>
      </c>
      <c r="J38" s="104">
        <f t="shared" si="29"/>
        <v>16190</v>
      </c>
      <c r="K38" s="104">
        <f t="shared" si="29"/>
        <v>16190</v>
      </c>
      <c r="L38" s="104">
        <f t="shared" si="29"/>
        <v>16440</v>
      </c>
      <c r="M38" s="104">
        <f t="shared" si="29"/>
        <v>16690</v>
      </c>
      <c r="N38" s="104">
        <f t="shared" si="29"/>
        <v>16940</v>
      </c>
      <c r="O38" s="104">
        <f t="shared" si="29"/>
        <v>17190</v>
      </c>
      <c r="P38" s="104">
        <f t="shared" si="29"/>
        <v>17190</v>
      </c>
      <c r="Q38" s="104">
        <f t="shared" ref="Q38:AJ38" si="30">Q30+Q33+Q36</f>
        <v>17440</v>
      </c>
      <c r="R38" s="104">
        <f t="shared" si="30"/>
        <v>17690</v>
      </c>
      <c r="S38" s="104">
        <f t="shared" si="30"/>
        <v>17940</v>
      </c>
      <c r="T38" s="104">
        <f t="shared" si="30"/>
        <v>18190</v>
      </c>
      <c r="U38" s="104">
        <f t="shared" si="30"/>
        <v>18190</v>
      </c>
      <c r="V38" s="104">
        <f t="shared" si="30"/>
        <v>18440</v>
      </c>
      <c r="W38" s="104">
        <f t="shared" si="30"/>
        <v>18690</v>
      </c>
      <c r="X38" s="104">
        <f t="shared" si="30"/>
        <v>18940</v>
      </c>
      <c r="Y38" s="104">
        <f t="shared" si="30"/>
        <v>19190</v>
      </c>
      <c r="Z38" s="104">
        <f t="shared" si="30"/>
        <v>19190</v>
      </c>
      <c r="AA38" s="104">
        <f t="shared" si="30"/>
        <v>19440</v>
      </c>
      <c r="AB38" s="104">
        <f t="shared" si="30"/>
        <v>19690</v>
      </c>
      <c r="AC38" s="104">
        <f t="shared" si="30"/>
        <v>19940</v>
      </c>
      <c r="AD38" s="104">
        <f t="shared" si="30"/>
        <v>20190</v>
      </c>
      <c r="AE38" s="104">
        <f t="shared" si="30"/>
        <v>20190</v>
      </c>
      <c r="AF38" s="104">
        <f t="shared" si="30"/>
        <v>20440</v>
      </c>
      <c r="AG38" s="104">
        <f t="shared" si="30"/>
        <v>20690</v>
      </c>
      <c r="AH38" s="104">
        <f t="shared" si="30"/>
        <v>20940</v>
      </c>
      <c r="AI38" s="104">
        <f t="shared" si="30"/>
        <v>21190</v>
      </c>
      <c r="AJ38" s="104">
        <f t="shared" si="30"/>
        <v>21190</v>
      </c>
    </row>
    <row r="39" spans="1:43" x14ac:dyDescent="0.3">
      <c r="A39" s="53" t="s">
        <v>172</v>
      </c>
      <c r="B39" s="104">
        <f>B37+B38</f>
        <v>21089</v>
      </c>
      <c r="C39" s="104">
        <f t="shared" ref="C39:K39" si="31">C37+C38</f>
        <v>22767</v>
      </c>
      <c r="D39" s="104">
        <f t="shared" si="31"/>
        <v>24809</v>
      </c>
      <c r="E39" s="104">
        <f t="shared" si="31"/>
        <v>27064</v>
      </c>
      <c r="F39" s="104">
        <f t="shared" si="31"/>
        <v>31129</v>
      </c>
      <c r="G39" s="104">
        <f t="shared" si="31"/>
        <v>31670</v>
      </c>
      <c r="H39" s="104">
        <f t="shared" si="31"/>
        <v>31989</v>
      </c>
      <c r="I39" s="104">
        <f t="shared" si="31"/>
        <v>32431</v>
      </c>
      <c r="J39" s="104">
        <f t="shared" si="31"/>
        <v>33061</v>
      </c>
      <c r="K39" s="104">
        <f t="shared" si="31"/>
        <v>33061</v>
      </c>
      <c r="L39" s="104">
        <f t="shared" ref="L39:AJ39" si="32">L37+L38</f>
        <v>33549</v>
      </c>
      <c r="M39" s="104">
        <f t="shared" si="32"/>
        <v>34049</v>
      </c>
      <c r="N39" s="104">
        <f t="shared" si="32"/>
        <v>34549</v>
      </c>
      <c r="O39" s="104">
        <f t="shared" si="32"/>
        <v>35049</v>
      </c>
      <c r="P39" s="104">
        <f t="shared" si="32"/>
        <v>35049</v>
      </c>
      <c r="Q39" s="104">
        <f t="shared" si="32"/>
        <v>35549</v>
      </c>
      <c r="R39" s="104">
        <f t="shared" si="32"/>
        <v>36049</v>
      </c>
      <c r="S39" s="104">
        <f t="shared" si="32"/>
        <v>36549</v>
      </c>
      <c r="T39" s="104">
        <f t="shared" si="32"/>
        <v>37049</v>
      </c>
      <c r="U39" s="104">
        <f t="shared" si="32"/>
        <v>37049</v>
      </c>
      <c r="V39" s="104">
        <f t="shared" si="32"/>
        <v>37549</v>
      </c>
      <c r="W39" s="104">
        <f t="shared" si="32"/>
        <v>38049</v>
      </c>
      <c r="X39" s="104">
        <f t="shared" si="32"/>
        <v>38549</v>
      </c>
      <c r="Y39" s="104">
        <f t="shared" si="32"/>
        <v>39049</v>
      </c>
      <c r="Z39" s="104">
        <f t="shared" si="32"/>
        <v>39049</v>
      </c>
      <c r="AA39" s="104">
        <f t="shared" si="32"/>
        <v>39549</v>
      </c>
      <c r="AB39" s="104">
        <f t="shared" si="32"/>
        <v>40049</v>
      </c>
      <c r="AC39" s="104">
        <f t="shared" si="32"/>
        <v>40549</v>
      </c>
      <c r="AD39" s="104">
        <f t="shared" si="32"/>
        <v>41049</v>
      </c>
      <c r="AE39" s="104">
        <f t="shared" si="32"/>
        <v>41049</v>
      </c>
      <c r="AF39" s="104">
        <f t="shared" si="32"/>
        <v>41549</v>
      </c>
      <c r="AG39" s="104">
        <f t="shared" si="32"/>
        <v>42049</v>
      </c>
      <c r="AH39" s="104">
        <f t="shared" si="32"/>
        <v>42549</v>
      </c>
      <c r="AI39" s="104">
        <f t="shared" si="32"/>
        <v>43049</v>
      </c>
      <c r="AJ39" s="104">
        <f t="shared" si="32"/>
        <v>43049</v>
      </c>
    </row>
    <row r="40" spans="1:43" x14ac:dyDescent="0.3">
      <c r="A40" s="53"/>
      <c r="B40" s="97"/>
      <c r="C40" s="97"/>
      <c r="D40" s="97"/>
      <c r="E40" s="97"/>
      <c r="F40" s="97"/>
      <c r="G40" s="98"/>
      <c r="H40" s="98"/>
      <c r="I40" s="98"/>
      <c r="J40" s="98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</row>
    <row r="41" spans="1:43" s="39" customFormat="1" x14ac:dyDescent="0.3">
      <c r="A41" s="70" t="s">
        <v>164</v>
      </c>
      <c r="B41" s="100"/>
      <c r="C41" s="100"/>
      <c r="D41" s="100"/>
      <c r="E41" s="100"/>
      <c r="F41" s="100"/>
      <c r="G41" s="101"/>
      <c r="H41" s="101"/>
      <c r="I41" s="101"/>
      <c r="J41" s="101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</row>
    <row r="42" spans="1:43" x14ac:dyDescent="0.3">
      <c r="A42" s="45" t="s">
        <v>167</v>
      </c>
      <c r="B42" s="48"/>
      <c r="C42" s="48"/>
      <c r="D42" s="48"/>
      <c r="E42" s="48"/>
      <c r="F42" s="48"/>
      <c r="G42" s="98"/>
      <c r="H42" s="98"/>
      <c r="I42" s="98"/>
      <c r="J42" s="98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</row>
    <row r="43" spans="1:43" s="24" customFormat="1" x14ac:dyDescent="0.3">
      <c r="A43" s="107" t="s">
        <v>168</v>
      </c>
      <c r="B43" s="108">
        <f t="shared" ref="B43:K43" si="33">B3</f>
        <v>12977.9</v>
      </c>
      <c r="C43" s="108">
        <f t="shared" si="33"/>
        <v>15197.3</v>
      </c>
      <c r="D43" s="108">
        <f t="shared" si="33"/>
        <v>16844.099999999999</v>
      </c>
      <c r="E43" s="108">
        <f t="shared" si="33"/>
        <v>17650.7</v>
      </c>
      <c r="F43" s="108">
        <f t="shared" si="33"/>
        <v>19690.3</v>
      </c>
      <c r="G43" s="108">
        <f t="shared" si="33"/>
        <v>5370.3</v>
      </c>
      <c r="H43" s="108">
        <f t="shared" si="33"/>
        <v>5159</v>
      </c>
      <c r="I43" s="108">
        <f t="shared" si="33"/>
        <v>5535.5</v>
      </c>
      <c r="J43" s="108">
        <f t="shared" si="33"/>
        <v>5479.6000000000022</v>
      </c>
      <c r="K43" s="108">
        <f t="shared" si="33"/>
        <v>21544.400000000001</v>
      </c>
      <c r="L43" s="84">
        <f>L44*(L37-L23)</f>
        <v>5642.5923755037247</v>
      </c>
      <c r="M43" s="84">
        <f>M44*(M37-M23)</f>
        <v>5512.2767213114757</v>
      </c>
      <c r="N43" s="84">
        <f>N44*(N37-N23)</f>
        <v>5929.3953291996158</v>
      </c>
      <c r="O43" s="84">
        <f>O44*(O37-O23)</f>
        <v>6067.1032319226142</v>
      </c>
      <c r="P43" s="84">
        <f>SUM(L43:O43)</f>
        <v>23151.36765793743</v>
      </c>
      <c r="Q43" s="84">
        <f>Q44*(Q37-Q23)</f>
        <v>6092.494717491757</v>
      </c>
      <c r="R43" s="84">
        <f>R44*(R37-R23)</f>
        <v>6009.4963890710387</v>
      </c>
      <c r="S43" s="84">
        <f>S44*(S37-S23)</f>
        <v>6459.0991367151919</v>
      </c>
      <c r="T43" s="84">
        <f>T44*(T37-T23)</f>
        <v>6668.114771114876</v>
      </c>
      <c r="U43" s="84">
        <f>SUM(Q43:T43)</f>
        <v>25229.205014392865</v>
      </c>
      <c r="V43" s="84">
        <f>V44*(V37-V23)</f>
        <v>6562.3117215253151</v>
      </c>
      <c r="W43" s="84">
        <f>W44*(W37-W23)</f>
        <v>6531.5881878469954</v>
      </c>
      <c r="X43" s="84">
        <f>X44*(X37-X23)</f>
        <v>7015.2487168854232</v>
      </c>
      <c r="Y43" s="84">
        <f>Y44*(Y37-Y23)</f>
        <v>7307.4998682714431</v>
      </c>
      <c r="Z43" s="84">
        <f>SUM(V43:Y43)</f>
        <v>27416.648494529178</v>
      </c>
      <c r="AA43" s="84">
        <f>AA44*(AA37-AA23)</f>
        <v>7048.4844078332171</v>
      </c>
      <c r="AB43" s="84">
        <f>AB44*(AB37-AB23)</f>
        <v>7079.5969477993449</v>
      </c>
      <c r="AC43" s="84">
        <f>AC44*(AC37-AC23)</f>
        <v>7598.9540826428247</v>
      </c>
      <c r="AD43" s="84">
        <f>AD44*(AD37-AD23)</f>
        <v>7987.3667895667504</v>
      </c>
      <c r="AE43" s="84">
        <f>SUM(AA43:AD43)</f>
        <v>29714.402227842136</v>
      </c>
      <c r="AF43" s="84">
        <f>AF44*(AF37-AF23)</f>
        <v>7551.4790769048259</v>
      </c>
      <c r="AG43" s="84">
        <f>AG44*(AG37-AG23)</f>
        <v>7654.607803979774</v>
      </c>
      <c r="AH43" s="84">
        <f>AH44*(AH37-AH23)</f>
        <v>8211.3680465004745</v>
      </c>
      <c r="AI43" s="84">
        <f>AI44*(AI37-AI23)</f>
        <v>8709.9310647764487</v>
      </c>
      <c r="AJ43" s="84">
        <f>SUM(AF43:AI43)</f>
        <v>32127.385992161522</v>
      </c>
    </row>
    <row r="44" spans="1:43" x14ac:dyDescent="0.3">
      <c r="A44" s="47" t="s">
        <v>169</v>
      </c>
      <c r="B44" s="109">
        <f t="shared" ref="B44:K44" si="34">B43/(B37-B23)</f>
        <v>1.1633112226604518</v>
      </c>
      <c r="C44" s="109">
        <f t="shared" si="34"/>
        <v>1.2940480245231607</v>
      </c>
      <c r="D44" s="109">
        <f t="shared" si="34"/>
        <v>1.2696238787970151</v>
      </c>
      <c r="E44" s="109">
        <f t="shared" si="34"/>
        <v>1.2843411191151859</v>
      </c>
      <c r="F44" s="109">
        <f t="shared" si="34"/>
        <v>1.376174168297456</v>
      </c>
      <c r="G44" s="109">
        <f t="shared" si="34"/>
        <v>0.32789717914275246</v>
      </c>
      <c r="H44" s="109">
        <f t="shared" si="34"/>
        <v>0.30979403110550652</v>
      </c>
      <c r="I44" s="109">
        <f t="shared" si="34"/>
        <v>0.33162592858854539</v>
      </c>
      <c r="J44" s="109">
        <f t="shared" si="34"/>
        <v>0.33129383313180183</v>
      </c>
      <c r="K44" s="109">
        <f t="shared" si="34"/>
        <v>1.3154475515936013</v>
      </c>
      <c r="L44" s="109">
        <f>(L45+1)*G44</f>
        <v>0.33445512272560751</v>
      </c>
      <c r="M44" s="109">
        <f>(M45+1)*H44</f>
        <v>0.32218579234972677</v>
      </c>
      <c r="N44" s="109">
        <f>(N45+1)*I44</f>
        <v>0.34157470644620175</v>
      </c>
      <c r="O44" s="109">
        <f>(O45+1)*J44</f>
        <v>0.34454558645707389</v>
      </c>
      <c r="P44" s="109">
        <f>P43/(P37-P23)</f>
        <v>1.3732349284024812</v>
      </c>
      <c r="Q44" s="109">
        <f>(Q45+1)*L44</f>
        <v>0.34114422518011966</v>
      </c>
      <c r="R44" s="109">
        <f>(R45+1)*M44</f>
        <v>0.33185136612021859</v>
      </c>
      <c r="S44" s="109">
        <f>(S45+1)*N44</f>
        <v>0.3518219476395878</v>
      </c>
      <c r="T44" s="109">
        <f>(T45+1)*O44</f>
        <v>0.35832740991535689</v>
      </c>
      <c r="U44" s="109">
        <f>U43/(U37-U23)</f>
        <v>1.4126885611956361</v>
      </c>
      <c r="V44" s="109">
        <f>(V45+1)*Q44</f>
        <v>0.34796710968372208</v>
      </c>
      <c r="W44" s="109">
        <f>(W45+1)*R44</f>
        <v>0.34180690710382516</v>
      </c>
      <c r="X44" s="109">
        <f>(X45+1)*S44</f>
        <v>0.36237660606877542</v>
      </c>
      <c r="Y44" s="109">
        <f>(Y45+1)*T44</f>
        <v>0.37266050631197117</v>
      </c>
      <c r="Z44" s="109">
        <f>Z43/(Z37-Z23)</f>
        <v>1.453770003421665</v>
      </c>
      <c r="AA44" s="109">
        <f>(AA45+1)*V44</f>
        <v>0.35492645187739652</v>
      </c>
      <c r="AB44" s="109">
        <f>(AB45+1)*W44</f>
        <v>0.35206111431693993</v>
      </c>
      <c r="AC44" s="109">
        <f>(AC45+1)*X44</f>
        <v>0.3732479042508387</v>
      </c>
      <c r="AD44" s="109">
        <f>(AD45+1)*Y44</f>
        <v>0.38756692656445002</v>
      </c>
      <c r="AE44" s="109">
        <f>SUM(AA44:AD44)</f>
        <v>1.467802397009625</v>
      </c>
      <c r="AF44" s="109">
        <f>(AF45+1)*AA44</f>
        <v>0.36202498091494445</v>
      </c>
      <c r="AG44" s="109">
        <f>(AG45+1)*AB44</f>
        <v>0.36262294774644815</v>
      </c>
      <c r="AH44" s="109">
        <f>(AH45+1)*AC44</f>
        <v>0.38444534137836389</v>
      </c>
      <c r="AI44" s="109">
        <f>(AI45+1)*AD44</f>
        <v>0.40306960362702804</v>
      </c>
      <c r="AJ44" s="109">
        <f>AJ43/(AJ37-AJ23)</f>
        <v>1.5402169803040184</v>
      </c>
      <c r="AK44" s="26"/>
      <c r="AL44" s="26"/>
      <c r="AM44" s="26"/>
      <c r="AN44" s="26"/>
      <c r="AO44" s="26"/>
      <c r="AP44" s="26"/>
      <c r="AQ44" s="26"/>
    </row>
    <row r="45" spans="1:43" s="27" customFormat="1" x14ac:dyDescent="0.3">
      <c r="A45" s="110" t="s">
        <v>170</v>
      </c>
      <c r="B45" s="89"/>
      <c r="C45" s="89">
        <f>C44/B44-1</f>
        <v>0.11238334103209158</v>
      </c>
      <c r="D45" s="89">
        <f>D44/C44-1</f>
        <v>-1.8874218934143205E-2</v>
      </c>
      <c r="E45" s="89">
        <f>E44/D44-1</f>
        <v>1.1591811215866166E-2</v>
      </c>
      <c r="F45" s="89">
        <f>F44/E44-1</f>
        <v>7.1502070451139987E-2</v>
      </c>
      <c r="G45" s="89"/>
      <c r="H45" s="89"/>
      <c r="I45" s="89"/>
      <c r="J45" s="89"/>
      <c r="K45" s="89">
        <f>K44/F44-1</f>
        <v>-4.4127130201101705E-2</v>
      </c>
      <c r="L45" s="111">
        <v>0.02</v>
      </c>
      <c r="M45" s="111">
        <v>0.04</v>
      </c>
      <c r="N45" s="111">
        <v>0.03</v>
      </c>
      <c r="O45" s="111">
        <v>0.04</v>
      </c>
      <c r="P45" s="89">
        <f>P44/K44-1</f>
        <v>4.3929822012951592E-2</v>
      </c>
      <c r="Q45" s="111">
        <v>0.02</v>
      </c>
      <c r="R45" s="111">
        <v>0.03</v>
      </c>
      <c r="S45" s="111">
        <v>0.03</v>
      </c>
      <c r="T45" s="111">
        <v>0.04</v>
      </c>
      <c r="U45" s="89">
        <f>U44/P44-1</f>
        <v>2.8730432045631416E-2</v>
      </c>
      <c r="V45" s="111">
        <v>0.02</v>
      </c>
      <c r="W45" s="111">
        <v>0.03</v>
      </c>
      <c r="X45" s="111">
        <v>0.03</v>
      </c>
      <c r="Y45" s="111">
        <v>0.04</v>
      </c>
      <c r="Z45" s="89">
        <f>Z44/U44-1</f>
        <v>2.9080324817849057E-2</v>
      </c>
      <c r="AA45" s="111">
        <v>0.02</v>
      </c>
      <c r="AB45" s="111">
        <v>0.03</v>
      </c>
      <c r="AC45" s="111">
        <v>0.03</v>
      </c>
      <c r="AD45" s="111">
        <v>0.04</v>
      </c>
      <c r="AE45" s="89">
        <f>AE44/Z44-1</f>
        <v>9.6524165135700724E-3</v>
      </c>
      <c r="AF45" s="111">
        <v>0.02</v>
      </c>
      <c r="AG45" s="111">
        <v>0.03</v>
      </c>
      <c r="AH45" s="111">
        <v>0.03</v>
      </c>
      <c r="AI45" s="111">
        <v>0.04</v>
      </c>
      <c r="AJ45" s="89">
        <f>AJ44/AE44-1</f>
        <v>4.9335376098257333E-2</v>
      </c>
    </row>
    <row r="46" spans="1:43" x14ac:dyDescent="0.3">
      <c r="A46" s="45" t="s">
        <v>171</v>
      </c>
      <c r="B46" s="97"/>
      <c r="C46" s="97"/>
      <c r="D46" s="97"/>
      <c r="E46" s="97"/>
      <c r="F46" s="97"/>
      <c r="G46" s="98"/>
      <c r="H46" s="98"/>
      <c r="I46" s="98"/>
      <c r="J46" s="98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</row>
    <row r="47" spans="1:43" s="25" customFormat="1" x14ac:dyDescent="0.3">
      <c r="A47" s="112" t="s">
        <v>168</v>
      </c>
      <c r="B47" s="113">
        <f t="shared" ref="B47:K47" si="35">B5</f>
        <v>1588.6</v>
      </c>
      <c r="C47" s="113">
        <f t="shared" si="35"/>
        <v>1861.9</v>
      </c>
      <c r="D47" s="113">
        <f t="shared" si="35"/>
        <v>2154.1999999999998</v>
      </c>
      <c r="E47" s="113">
        <f t="shared" si="35"/>
        <v>2355</v>
      </c>
      <c r="F47" s="113">
        <f t="shared" si="35"/>
        <v>2652.2</v>
      </c>
      <c r="G47" s="113">
        <f t="shared" si="35"/>
        <v>737.1</v>
      </c>
      <c r="H47" s="113">
        <f t="shared" si="35"/>
        <v>678.2</v>
      </c>
      <c r="I47" s="113">
        <f t="shared" si="35"/>
        <v>660.6</v>
      </c>
      <c r="J47" s="113">
        <f t="shared" si="35"/>
        <v>799.1</v>
      </c>
      <c r="K47" s="113">
        <f t="shared" si="35"/>
        <v>2875</v>
      </c>
      <c r="L47" s="114">
        <f>L48*(L38-L24)</f>
        <v>825.18622330689448</v>
      </c>
      <c r="M47" s="114">
        <f>M48*(M38-M24)</f>
        <v>757.31505360591336</v>
      </c>
      <c r="N47" s="114">
        <f>N48*(N38-N24)</f>
        <v>735.17175132378895</v>
      </c>
      <c r="O47" s="114">
        <f>O48*(O38-O24)</f>
        <v>868.88736265810837</v>
      </c>
      <c r="P47" s="84">
        <f>SUM(L47:O47)</f>
        <v>3186.5603908947055</v>
      </c>
      <c r="Q47" s="114">
        <f>Q48*(Q38-Q24)</f>
        <v>893.67820890787061</v>
      </c>
      <c r="R47" s="114">
        <f>R48*(R38-R24)</f>
        <v>819.44805508423792</v>
      </c>
      <c r="S47" s="114">
        <f>S48*(S38-S24)</f>
        <v>794.80479607766222</v>
      </c>
      <c r="T47" s="114">
        <f>T48*(T38-T24)</f>
        <v>938.58300305833495</v>
      </c>
      <c r="U47" s="84">
        <f>SUM(Q47:T47)</f>
        <v>3446.5140631281056</v>
      </c>
      <c r="V47" s="114">
        <f>V48*(V38-V24)</f>
        <v>964.57979944356316</v>
      </c>
      <c r="W47" s="114">
        <f>W48*(W38-W24)</f>
        <v>883.76345060025312</v>
      </c>
      <c r="X47" s="114">
        <f>X48*(X38-X24)</f>
        <v>856.52909392116101</v>
      </c>
      <c r="Y47" s="114">
        <f>Y48*(Y38-Y24)</f>
        <v>1010.7189141295073</v>
      </c>
      <c r="Z47" s="84">
        <f>SUM(V47:Y47)</f>
        <v>3715.5912580944841</v>
      </c>
      <c r="AA47" s="114">
        <f>AA48*(AA38-AA24)</f>
        <v>1037.9599823171202</v>
      </c>
      <c r="AB47" s="114">
        <f>AB48*(AB38-AB24)</f>
        <v>950.32368271487519</v>
      </c>
      <c r="AC47" s="114">
        <f>AC48*(AC38-AC24)</f>
        <v>920.40444175996868</v>
      </c>
      <c r="AD47" s="114">
        <f>AD48*(AD38-AD24)</f>
        <v>1085.3648284423032</v>
      </c>
      <c r="AE47" s="84">
        <f>SUM(AA47:AD47)</f>
        <v>3994.0529352342674</v>
      </c>
      <c r="AF47" s="114">
        <f>AF48*(AF38-AF24)</f>
        <v>1113.889540585842</v>
      </c>
      <c r="AG47" s="114">
        <f>AG48*(AG38-AG24)</f>
        <v>1019.1928187338422</v>
      </c>
      <c r="AH47" s="114">
        <f>AH48*(AH38-AH24)</f>
        <v>986.49219187476012</v>
      </c>
      <c r="AI47" s="114">
        <f>AI48*(AI38-AI24)</f>
        <v>1162.5922917619591</v>
      </c>
      <c r="AJ47" s="84">
        <f>SUM(AF47:AI47)</f>
        <v>4282.1668429564033</v>
      </c>
    </row>
    <row r="48" spans="1:43" s="26" customFormat="1" x14ac:dyDescent="0.3">
      <c r="A48" s="115" t="s">
        <v>169</v>
      </c>
      <c r="B48" s="109">
        <f t="shared" ref="B48:K48" si="36">B47/(B38-B24)</f>
        <v>0.19102934102934102</v>
      </c>
      <c r="C48" s="109">
        <f t="shared" si="36"/>
        <v>0.19924023542001071</v>
      </c>
      <c r="D48" s="109">
        <f t="shared" si="36"/>
        <v>0.22675789473684207</v>
      </c>
      <c r="E48" s="109">
        <f t="shared" si="36"/>
        <v>0.21281402494126153</v>
      </c>
      <c r="F48" s="109">
        <f t="shared" si="36"/>
        <v>0.20791784258388207</v>
      </c>
      <c r="G48" s="109">
        <f t="shared" si="36"/>
        <v>4.9969493593654671E-2</v>
      </c>
      <c r="H48" s="109">
        <f t="shared" si="36"/>
        <v>4.5162149563827664E-2</v>
      </c>
      <c r="I48" s="109">
        <f t="shared" si="36"/>
        <v>4.3184938223181014E-2</v>
      </c>
      <c r="J48" s="109">
        <f t="shared" si="36"/>
        <v>5.0286325593103018E-2</v>
      </c>
      <c r="K48" s="109">
        <f t="shared" si="36"/>
        <v>0.19490204053962443</v>
      </c>
      <c r="L48" s="109">
        <f>(L49+1)*G48</f>
        <v>5.0968883465527762E-2</v>
      </c>
      <c r="M48" s="109">
        <f>(M49+1)*H48</f>
        <v>4.6065392555104216E-2</v>
      </c>
      <c r="N48" s="109">
        <f>(N49+1)*I48</f>
        <v>4.4048636987644635E-2</v>
      </c>
      <c r="O48" s="109">
        <f>(O49+1)*J48</f>
        <v>5.1292052104965076E-2</v>
      </c>
      <c r="P48" s="109">
        <f>P47/(P38-P24)</f>
        <v>0.19682275422450313</v>
      </c>
      <c r="Q48" s="109">
        <f>(Q49+1)*L48</f>
        <v>5.1988261134838315E-2</v>
      </c>
      <c r="R48" s="109">
        <f>(R49+1)*M48</f>
        <v>4.6986700406206304E-2</v>
      </c>
      <c r="S48" s="109">
        <f>(S49+1)*N48</f>
        <v>4.4929609727397526E-2</v>
      </c>
      <c r="T48" s="109">
        <f>(T49+1)*O48</f>
        <v>5.2317893147064379E-2</v>
      </c>
      <c r="U48" s="109">
        <f>U47/(U38-U24)</f>
        <v>0.20049529163048899</v>
      </c>
      <c r="V48" s="109">
        <f>(V49+1)*Q48</f>
        <v>5.3028026357535084E-2</v>
      </c>
      <c r="W48" s="109">
        <f>(W49+1)*R48</f>
        <v>4.7926434414330428E-2</v>
      </c>
      <c r="X48" s="109">
        <f>(X49+1)*S48</f>
        <v>4.5828201921945477E-2</v>
      </c>
      <c r="Y48" s="109">
        <f>(Y49+1)*T48</f>
        <v>5.3364251010005664E-2</v>
      </c>
      <c r="Z48" s="109">
        <f>Z47/(Z38-Z24)</f>
        <v>0.20426559967534272</v>
      </c>
      <c r="AA48" s="109">
        <f>(AA49+1)*V48</f>
        <v>5.4088586884685784E-2</v>
      </c>
      <c r="AB48" s="109">
        <f>(AB49+1)*W48</f>
        <v>4.8884963102617036E-2</v>
      </c>
      <c r="AC48" s="109">
        <f>(AC49+1)*X48</f>
        <v>4.6744765960384391E-2</v>
      </c>
      <c r="AD48" s="109">
        <f>(AD49+1)*Y48</f>
        <v>5.4431536030205778E-2</v>
      </c>
      <c r="AE48" s="109">
        <f>AE47/(AE38-AE24)</f>
        <v>0.20813199245618902</v>
      </c>
      <c r="AF48" s="109">
        <f>(AF49+1)*AA48</f>
        <v>5.5170358622379498E-2</v>
      </c>
      <c r="AG48" s="109">
        <f>(AG49+1)*AB48</f>
        <v>4.986266236466938E-2</v>
      </c>
      <c r="AH48" s="109">
        <f>(AH49+1)*AC48</f>
        <v>4.7679661279592077E-2</v>
      </c>
      <c r="AI48" s="109">
        <f>(AI49+1)*AD48</f>
        <v>5.5520166750809896E-2</v>
      </c>
      <c r="AJ48" s="109">
        <f>AJ47/(AJ38-AJ24)</f>
        <v>0.21209345433166932</v>
      </c>
    </row>
    <row r="49" spans="1:46" s="5" customFormat="1" x14ac:dyDescent="0.3">
      <c r="A49" s="110" t="s">
        <v>170</v>
      </c>
      <c r="B49" s="89"/>
      <c r="C49" s="89">
        <f>C48/B48-1</f>
        <v>4.2982373003153107E-2</v>
      </c>
      <c r="D49" s="89">
        <f>D48/C48-1</f>
        <v>0.13811296327181322</v>
      </c>
      <c r="E49" s="89">
        <f>E48/D48-1</f>
        <v>-6.1492323395235027E-2</v>
      </c>
      <c r="F49" s="89">
        <f>F48/E48-1</f>
        <v>-2.300685943386882E-2</v>
      </c>
      <c r="G49" s="111"/>
      <c r="H49" s="111"/>
      <c r="I49" s="111"/>
      <c r="J49" s="111"/>
      <c r="K49" s="89">
        <f>K48/F48-1</f>
        <v>-6.2600697864622079E-2</v>
      </c>
      <c r="L49" s="111">
        <v>0.02</v>
      </c>
      <c r="M49" s="111">
        <v>0.02</v>
      </c>
      <c r="N49" s="111">
        <v>0.02</v>
      </c>
      <c r="O49" s="111">
        <v>0.02</v>
      </c>
      <c r="P49" s="89">
        <f>P48/K48-1</f>
        <v>9.8547643706594634E-3</v>
      </c>
      <c r="Q49" s="111">
        <v>0.02</v>
      </c>
      <c r="R49" s="111">
        <v>0.02</v>
      </c>
      <c r="S49" s="111">
        <v>0.02</v>
      </c>
      <c r="T49" s="111">
        <v>0.02</v>
      </c>
      <c r="U49" s="89">
        <f>U48/P48-1</f>
        <v>1.8659109920780903E-2</v>
      </c>
      <c r="V49" s="111">
        <v>0.02</v>
      </c>
      <c r="W49" s="111">
        <v>0.02</v>
      </c>
      <c r="X49" s="111">
        <v>0.02</v>
      </c>
      <c r="Y49" s="111">
        <v>0.02</v>
      </c>
      <c r="Z49" s="89">
        <f>Z48/U48-1</f>
        <v>1.8804970501762996E-2</v>
      </c>
      <c r="AA49" s="111">
        <v>0.02</v>
      </c>
      <c r="AB49" s="111">
        <v>0.02</v>
      </c>
      <c r="AC49" s="111">
        <v>0.02</v>
      </c>
      <c r="AD49" s="111">
        <v>0.02</v>
      </c>
      <c r="AE49" s="89">
        <f>AE48/Z48-1</f>
        <v>1.8928261963793602E-2</v>
      </c>
      <c r="AF49" s="111">
        <v>0.02</v>
      </c>
      <c r="AG49" s="111">
        <v>0.02</v>
      </c>
      <c r="AH49" s="111">
        <v>0.02</v>
      </c>
      <c r="AI49" s="111">
        <v>0.02</v>
      </c>
      <c r="AJ49" s="89">
        <f>AJ48/AE48-1</f>
        <v>1.9033411580462234E-2</v>
      </c>
      <c r="AK49" s="27"/>
      <c r="AL49" s="27"/>
      <c r="AM49" s="27"/>
      <c r="AN49" s="27"/>
      <c r="AO49" s="27"/>
      <c r="AP49" s="27"/>
      <c r="AQ49" s="27"/>
      <c r="AR49" s="27"/>
      <c r="AS49" s="27"/>
      <c r="AT49" s="27"/>
    </row>
    <row r="50" spans="1:46" x14ac:dyDescent="0.3">
      <c r="A50" s="45"/>
      <c r="B50" s="97"/>
      <c r="C50" s="97"/>
      <c r="D50" s="97"/>
      <c r="E50" s="97"/>
      <c r="F50" s="97"/>
      <c r="G50" s="98"/>
      <c r="H50" s="98"/>
      <c r="I50" s="98"/>
      <c r="J50" s="98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</row>
    <row r="51" spans="1:46" s="37" customFormat="1" x14ac:dyDescent="0.3">
      <c r="A51" s="70" t="s">
        <v>176</v>
      </c>
      <c r="B51" s="116"/>
      <c r="C51" s="116"/>
      <c r="D51" s="116"/>
      <c r="E51" s="116"/>
      <c r="F51" s="116"/>
      <c r="G51" s="117"/>
      <c r="H51" s="117"/>
      <c r="I51" s="117"/>
      <c r="J51" s="117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</row>
    <row r="52" spans="1:46" x14ac:dyDescent="0.3">
      <c r="A52" s="45" t="s">
        <v>167</v>
      </c>
      <c r="B52" s="48"/>
      <c r="C52" s="48"/>
      <c r="D52" s="48"/>
      <c r="E52" s="48"/>
      <c r="F52" s="48"/>
      <c r="G52" s="98"/>
      <c r="H52" s="98"/>
      <c r="I52" s="98"/>
      <c r="J52" s="98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</row>
    <row r="53" spans="1:46" s="29" customFormat="1" x14ac:dyDescent="0.3">
      <c r="A53" s="119" t="s">
        <v>177</v>
      </c>
      <c r="B53" s="104">
        <f t="shared" ref="B53:AJ53" si="37">B23</f>
        <v>588</v>
      </c>
      <c r="C53" s="104">
        <f t="shared" si="37"/>
        <v>1523</v>
      </c>
      <c r="D53" s="104">
        <f t="shared" si="37"/>
        <v>476</v>
      </c>
      <c r="E53" s="104">
        <f t="shared" si="37"/>
        <v>565</v>
      </c>
      <c r="F53" s="104">
        <f t="shared" si="37"/>
        <v>2070</v>
      </c>
      <c r="G53" s="104">
        <f t="shared" si="37"/>
        <v>275</v>
      </c>
      <c r="H53" s="104">
        <f t="shared" si="37"/>
        <v>39</v>
      </c>
      <c r="I53" s="104">
        <f t="shared" si="37"/>
        <v>-152</v>
      </c>
      <c r="J53" s="104">
        <f t="shared" si="37"/>
        <v>331</v>
      </c>
      <c r="K53" s="104">
        <f t="shared" si="37"/>
        <v>493</v>
      </c>
      <c r="L53" s="104">
        <f t="shared" si="37"/>
        <v>238</v>
      </c>
      <c r="M53" s="104">
        <f t="shared" si="37"/>
        <v>250</v>
      </c>
      <c r="N53" s="104">
        <f t="shared" si="37"/>
        <v>250</v>
      </c>
      <c r="O53" s="104">
        <f t="shared" si="37"/>
        <v>250</v>
      </c>
      <c r="P53" s="104">
        <f t="shared" si="37"/>
        <v>1000</v>
      </c>
      <c r="Q53" s="104">
        <f t="shared" si="37"/>
        <v>250</v>
      </c>
      <c r="R53" s="104">
        <f t="shared" si="37"/>
        <v>250</v>
      </c>
      <c r="S53" s="104">
        <f t="shared" si="37"/>
        <v>250</v>
      </c>
      <c r="T53" s="104">
        <f t="shared" si="37"/>
        <v>250</v>
      </c>
      <c r="U53" s="104">
        <f t="shared" si="37"/>
        <v>1000</v>
      </c>
      <c r="V53" s="104">
        <f t="shared" si="37"/>
        <v>250</v>
      </c>
      <c r="W53" s="104">
        <f t="shared" si="37"/>
        <v>250</v>
      </c>
      <c r="X53" s="104">
        <f t="shared" si="37"/>
        <v>250</v>
      </c>
      <c r="Y53" s="104">
        <f t="shared" si="37"/>
        <v>250</v>
      </c>
      <c r="Z53" s="104">
        <f t="shared" si="37"/>
        <v>1000</v>
      </c>
      <c r="AA53" s="104">
        <f t="shared" si="37"/>
        <v>250</v>
      </c>
      <c r="AB53" s="104">
        <f t="shared" si="37"/>
        <v>250</v>
      </c>
      <c r="AC53" s="104">
        <f t="shared" si="37"/>
        <v>250</v>
      </c>
      <c r="AD53" s="104">
        <f t="shared" si="37"/>
        <v>250</v>
      </c>
      <c r="AE53" s="104">
        <f t="shared" si="37"/>
        <v>1000</v>
      </c>
      <c r="AF53" s="104">
        <f t="shared" si="37"/>
        <v>250</v>
      </c>
      <c r="AG53" s="104">
        <f t="shared" si="37"/>
        <v>250</v>
      </c>
      <c r="AH53" s="104">
        <f t="shared" si="37"/>
        <v>250</v>
      </c>
      <c r="AI53" s="104">
        <f t="shared" si="37"/>
        <v>250</v>
      </c>
      <c r="AJ53" s="104">
        <f t="shared" si="37"/>
        <v>1000</v>
      </c>
    </row>
    <row r="54" spans="1:46" x14ac:dyDescent="0.3">
      <c r="A54" s="47" t="s">
        <v>169</v>
      </c>
      <c r="B54" s="109">
        <f t="shared" ref="B54:AJ54" si="38">B44</f>
        <v>1.1633112226604518</v>
      </c>
      <c r="C54" s="109">
        <f t="shared" si="38"/>
        <v>1.2940480245231607</v>
      </c>
      <c r="D54" s="109">
        <f t="shared" si="38"/>
        <v>1.2696238787970151</v>
      </c>
      <c r="E54" s="109">
        <f t="shared" si="38"/>
        <v>1.2843411191151859</v>
      </c>
      <c r="F54" s="109">
        <f t="shared" si="38"/>
        <v>1.376174168297456</v>
      </c>
      <c r="G54" s="109">
        <f t="shared" si="38"/>
        <v>0.32789717914275246</v>
      </c>
      <c r="H54" s="109">
        <f t="shared" si="38"/>
        <v>0.30979403110550652</v>
      </c>
      <c r="I54" s="109">
        <f t="shared" si="38"/>
        <v>0.33162592858854539</v>
      </c>
      <c r="J54" s="109">
        <f t="shared" si="38"/>
        <v>0.33129383313180183</v>
      </c>
      <c r="K54" s="109">
        <f t="shared" si="38"/>
        <v>1.3154475515936013</v>
      </c>
      <c r="L54" s="109">
        <f t="shared" si="38"/>
        <v>0.33445512272560751</v>
      </c>
      <c r="M54" s="109">
        <f t="shared" si="38"/>
        <v>0.32218579234972677</v>
      </c>
      <c r="N54" s="109">
        <f t="shared" si="38"/>
        <v>0.34157470644620175</v>
      </c>
      <c r="O54" s="109">
        <f t="shared" si="38"/>
        <v>0.34454558645707389</v>
      </c>
      <c r="P54" s="109">
        <f t="shared" si="38"/>
        <v>1.3732349284024812</v>
      </c>
      <c r="Q54" s="109">
        <f t="shared" si="38"/>
        <v>0.34114422518011966</v>
      </c>
      <c r="R54" s="109">
        <f t="shared" si="38"/>
        <v>0.33185136612021859</v>
      </c>
      <c r="S54" s="109">
        <f t="shared" si="38"/>
        <v>0.3518219476395878</v>
      </c>
      <c r="T54" s="109">
        <f t="shared" si="38"/>
        <v>0.35832740991535689</v>
      </c>
      <c r="U54" s="109">
        <f t="shared" si="38"/>
        <v>1.4126885611956361</v>
      </c>
      <c r="V54" s="109">
        <f t="shared" si="38"/>
        <v>0.34796710968372208</v>
      </c>
      <c r="W54" s="109">
        <f t="shared" si="38"/>
        <v>0.34180690710382516</v>
      </c>
      <c r="X54" s="109">
        <f t="shared" si="38"/>
        <v>0.36237660606877542</v>
      </c>
      <c r="Y54" s="109">
        <f t="shared" si="38"/>
        <v>0.37266050631197117</v>
      </c>
      <c r="Z54" s="109">
        <f t="shared" si="38"/>
        <v>1.453770003421665</v>
      </c>
      <c r="AA54" s="109">
        <f t="shared" si="38"/>
        <v>0.35492645187739652</v>
      </c>
      <c r="AB54" s="109">
        <f t="shared" si="38"/>
        <v>0.35206111431693993</v>
      </c>
      <c r="AC54" s="109">
        <f t="shared" si="38"/>
        <v>0.3732479042508387</v>
      </c>
      <c r="AD54" s="109">
        <f t="shared" si="38"/>
        <v>0.38756692656445002</v>
      </c>
      <c r="AE54" s="109">
        <f t="shared" si="38"/>
        <v>1.467802397009625</v>
      </c>
      <c r="AF54" s="109">
        <f t="shared" si="38"/>
        <v>0.36202498091494445</v>
      </c>
      <c r="AG54" s="109">
        <f t="shared" si="38"/>
        <v>0.36262294774644815</v>
      </c>
      <c r="AH54" s="109">
        <f t="shared" si="38"/>
        <v>0.38444534137836389</v>
      </c>
      <c r="AI54" s="109">
        <f t="shared" si="38"/>
        <v>0.40306960362702804</v>
      </c>
      <c r="AJ54" s="109">
        <f t="shared" si="38"/>
        <v>1.5402169803040184</v>
      </c>
      <c r="AK54" s="26"/>
      <c r="AL54" s="26"/>
      <c r="AM54" s="26"/>
      <c r="AN54" s="26"/>
      <c r="AO54" s="26"/>
      <c r="AP54" s="26"/>
      <c r="AQ54" s="26"/>
    </row>
    <row r="55" spans="1:46" s="30" customFormat="1" x14ac:dyDescent="0.3">
      <c r="A55" s="120" t="s">
        <v>168</v>
      </c>
      <c r="B55" s="121">
        <f>B53*B54/2</f>
        <v>342.01349946217283</v>
      </c>
      <c r="C55" s="121">
        <f t="shared" ref="C55:AJ55" si="39">C53*C54/2</f>
        <v>985.41757067438687</v>
      </c>
      <c r="D55" s="121">
        <f t="shared" si="39"/>
        <v>302.17048315368959</v>
      </c>
      <c r="E55" s="121">
        <f t="shared" si="39"/>
        <v>362.82636615004003</v>
      </c>
      <c r="F55" s="121">
        <f t="shared" si="39"/>
        <v>1424.340264187867</v>
      </c>
      <c r="G55" s="121">
        <f t="shared" si="39"/>
        <v>45.085862132128462</v>
      </c>
      <c r="H55" s="121">
        <f t="shared" si="39"/>
        <v>6.0409836065573774</v>
      </c>
      <c r="I55" s="121">
        <f t="shared" si="39"/>
        <v>-25.203570572729451</v>
      </c>
      <c r="J55" s="121">
        <f t="shared" si="39"/>
        <v>54.829129383313202</v>
      </c>
      <c r="K55" s="121">
        <f t="shared" si="39"/>
        <v>324.25782146782274</v>
      </c>
      <c r="L55" s="121">
        <f t="shared" si="39"/>
        <v>39.800159604347293</v>
      </c>
      <c r="M55" s="121">
        <f t="shared" si="39"/>
        <v>40.27322404371585</v>
      </c>
      <c r="N55" s="121">
        <f t="shared" si="39"/>
        <v>42.696838305775216</v>
      </c>
      <c r="O55" s="121">
        <f t="shared" si="39"/>
        <v>43.068198307134239</v>
      </c>
      <c r="P55" s="121">
        <f t="shared" si="39"/>
        <v>686.61746420124064</v>
      </c>
      <c r="Q55" s="121">
        <f t="shared" si="39"/>
        <v>42.643028147514961</v>
      </c>
      <c r="R55" s="121">
        <f t="shared" si="39"/>
        <v>41.481420765027323</v>
      </c>
      <c r="S55" s="121">
        <f t="shared" si="39"/>
        <v>43.977743454948474</v>
      </c>
      <c r="T55" s="121">
        <f t="shared" si="39"/>
        <v>44.790926239419612</v>
      </c>
      <c r="U55" s="121">
        <f t="shared" si="39"/>
        <v>706.34428059781806</v>
      </c>
      <c r="V55" s="121">
        <f t="shared" si="39"/>
        <v>43.495888710465259</v>
      </c>
      <c r="W55" s="121">
        <f t="shared" si="39"/>
        <v>42.725863387978144</v>
      </c>
      <c r="X55" s="121">
        <f t="shared" si="39"/>
        <v>45.297075758596925</v>
      </c>
      <c r="Y55" s="121">
        <f t="shared" si="39"/>
        <v>46.582563288996397</v>
      </c>
      <c r="Z55" s="121">
        <f t="shared" si="39"/>
        <v>726.88500171083251</v>
      </c>
      <c r="AA55" s="121">
        <f t="shared" si="39"/>
        <v>44.365806484674565</v>
      </c>
      <c r="AB55" s="121">
        <f t="shared" si="39"/>
        <v>44.007639289617494</v>
      </c>
      <c r="AC55" s="121">
        <f t="shared" si="39"/>
        <v>46.655988031354838</v>
      </c>
      <c r="AD55" s="121">
        <f t="shared" si="39"/>
        <v>48.44586582055625</v>
      </c>
      <c r="AE55" s="121">
        <f t="shared" si="39"/>
        <v>733.90119850481256</v>
      </c>
      <c r="AF55" s="121">
        <f t="shared" si="39"/>
        <v>45.253122614368053</v>
      </c>
      <c r="AG55" s="121">
        <f t="shared" si="39"/>
        <v>45.327868468306022</v>
      </c>
      <c r="AH55" s="121">
        <f t="shared" si="39"/>
        <v>48.055667672295485</v>
      </c>
      <c r="AI55" s="121">
        <f t="shared" si="39"/>
        <v>50.383700453378502</v>
      </c>
      <c r="AJ55" s="121">
        <f t="shared" si="39"/>
        <v>770.10849015200927</v>
      </c>
    </row>
    <row r="56" spans="1:46" x14ac:dyDescent="0.3">
      <c r="A56" s="45" t="s">
        <v>171</v>
      </c>
      <c r="B56" s="97"/>
      <c r="C56" s="97"/>
      <c r="D56" s="97"/>
      <c r="E56" s="97"/>
      <c r="F56" s="97"/>
      <c r="G56" s="98"/>
      <c r="H56" s="98"/>
      <c r="I56" s="98"/>
      <c r="J56" s="98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</row>
    <row r="57" spans="1:46" s="29" customFormat="1" x14ac:dyDescent="0.3">
      <c r="A57" s="119" t="s">
        <v>177</v>
      </c>
      <c r="B57" s="104">
        <f t="shared" ref="B57:AJ57" si="40">B24</f>
        <v>1029</v>
      </c>
      <c r="C57" s="104">
        <f t="shared" si="40"/>
        <v>155</v>
      </c>
      <c r="D57" s="104">
        <f t="shared" si="40"/>
        <v>1566</v>
      </c>
      <c r="E57" s="104">
        <f t="shared" si="40"/>
        <v>1690</v>
      </c>
      <c r="F57" s="104">
        <f t="shared" si="40"/>
        <v>1995</v>
      </c>
      <c r="G57" s="104">
        <f t="shared" si="40"/>
        <v>266</v>
      </c>
      <c r="H57" s="104">
        <f t="shared" si="40"/>
        <v>280</v>
      </c>
      <c r="I57" s="104">
        <f t="shared" si="40"/>
        <v>594</v>
      </c>
      <c r="J57" s="104">
        <f t="shared" si="40"/>
        <v>299</v>
      </c>
      <c r="K57" s="104">
        <f t="shared" si="40"/>
        <v>1439</v>
      </c>
      <c r="L57" s="104">
        <f t="shared" si="40"/>
        <v>250</v>
      </c>
      <c r="M57" s="104">
        <f t="shared" si="40"/>
        <v>250</v>
      </c>
      <c r="N57" s="104">
        <f t="shared" si="40"/>
        <v>250</v>
      </c>
      <c r="O57" s="104">
        <f t="shared" si="40"/>
        <v>250</v>
      </c>
      <c r="P57" s="104">
        <f t="shared" si="40"/>
        <v>1000</v>
      </c>
      <c r="Q57" s="104">
        <f t="shared" si="40"/>
        <v>250</v>
      </c>
      <c r="R57" s="104">
        <f t="shared" si="40"/>
        <v>250</v>
      </c>
      <c r="S57" s="104">
        <f t="shared" si="40"/>
        <v>250</v>
      </c>
      <c r="T57" s="104">
        <f t="shared" si="40"/>
        <v>250</v>
      </c>
      <c r="U57" s="104">
        <f t="shared" si="40"/>
        <v>1000</v>
      </c>
      <c r="V57" s="104">
        <f t="shared" si="40"/>
        <v>250</v>
      </c>
      <c r="W57" s="104">
        <f t="shared" si="40"/>
        <v>250</v>
      </c>
      <c r="X57" s="104">
        <f t="shared" si="40"/>
        <v>250</v>
      </c>
      <c r="Y57" s="104">
        <f t="shared" si="40"/>
        <v>250</v>
      </c>
      <c r="Z57" s="104">
        <f t="shared" si="40"/>
        <v>1000</v>
      </c>
      <c r="AA57" s="104">
        <f t="shared" si="40"/>
        <v>250</v>
      </c>
      <c r="AB57" s="104">
        <f t="shared" si="40"/>
        <v>250</v>
      </c>
      <c r="AC57" s="104">
        <f t="shared" si="40"/>
        <v>250</v>
      </c>
      <c r="AD57" s="104">
        <f t="shared" si="40"/>
        <v>250</v>
      </c>
      <c r="AE57" s="104">
        <f t="shared" si="40"/>
        <v>1000</v>
      </c>
      <c r="AF57" s="104">
        <f t="shared" si="40"/>
        <v>250</v>
      </c>
      <c r="AG57" s="104">
        <f t="shared" si="40"/>
        <v>250</v>
      </c>
      <c r="AH57" s="104">
        <f t="shared" si="40"/>
        <v>250</v>
      </c>
      <c r="AI57" s="104">
        <f t="shared" si="40"/>
        <v>250</v>
      </c>
      <c r="AJ57" s="104">
        <f t="shared" si="40"/>
        <v>1000</v>
      </c>
    </row>
    <row r="58" spans="1:46" s="26" customFormat="1" x14ac:dyDescent="0.3">
      <c r="A58" s="115" t="s">
        <v>169</v>
      </c>
      <c r="B58" s="109">
        <f t="shared" ref="B58:AJ58" si="41">B48</f>
        <v>0.19102934102934102</v>
      </c>
      <c r="C58" s="109">
        <f t="shared" si="41"/>
        <v>0.19924023542001071</v>
      </c>
      <c r="D58" s="109">
        <f t="shared" si="41"/>
        <v>0.22675789473684207</v>
      </c>
      <c r="E58" s="109">
        <f t="shared" si="41"/>
        <v>0.21281402494126153</v>
      </c>
      <c r="F58" s="109">
        <f t="shared" si="41"/>
        <v>0.20791784258388207</v>
      </c>
      <c r="G58" s="109">
        <f t="shared" si="41"/>
        <v>4.9969493593654671E-2</v>
      </c>
      <c r="H58" s="109">
        <f t="shared" si="41"/>
        <v>4.5162149563827664E-2</v>
      </c>
      <c r="I58" s="109">
        <f t="shared" si="41"/>
        <v>4.3184938223181014E-2</v>
      </c>
      <c r="J58" s="109">
        <f t="shared" si="41"/>
        <v>5.0286325593103018E-2</v>
      </c>
      <c r="K58" s="109">
        <f t="shared" si="41"/>
        <v>0.19490204053962443</v>
      </c>
      <c r="L58" s="109">
        <f t="shared" si="41"/>
        <v>5.0968883465527762E-2</v>
      </c>
      <c r="M58" s="109">
        <f t="shared" si="41"/>
        <v>4.6065392555104216E-2</v>
      </c>
      <c r="N58" s="109">
        <f t="shared" si="41"/>
        <v>4.4048636987644635E-2</v>
      </c>
      <c r="O58" s="109">
        <f t="shared" si="41"/>
        <v>5.1292052104965076E-2</v>
      </c>
      <c r="P58" s="109">
        <f t="shared" si="41"/>
        <v>0.19682275422450313</v>
      </c>
      <c r="Q58" s="109">
        <f t="shared" si="41"/>
        <v>5.1988261134838315E-2</v>
      </c>
      <c r="R58" s="109">
        <f t="shared" si="41"/>
        <v>4.6986700406206304E-2</v>
      </c>
      <c r="S58" s="109">
        <f t="shared" si="41"/>
        <v>4.4929609727397526E-2</v>
      </c>
      <c r="T58" s="109">
        <f t="shared" si="41"/>
        <v>5.2317893147064379E-2</v>
      </c>
      <c r="U58" s="109">
        <f t="shared" si="41"/>
        <v>0.20049529163048899</v>
      </c>
      <c r="V58" s="109">
        <f t="shared" si="41"/>
        <v>5.3028026357535084E-2</v>
      </c>
      <c r="W58" s="109">
        <f t="shared" si="41"/>
        <v>4.7926434414330428E-2</v>
      </c>
      <c r="X58" s="109">
        <f t="shared" si="41"/>
        <v>4.5828201921945477E-2</v>
      </c>
      <c r="Y58" s="109">
        <f t="shared" si="41"/>
        <v>5.3364251010005664E-2</v>
      </c>
      <c r="Z58" s="109">
        <f t="shared" si="41"/>
        <v>0.20426559967534272</v>
      </c>
      <c r="AA58" s="109">
        <f t="shared" si="41"/>
        <v>5.4088586884685784E-2</v>
      </c>
      <c r="AB58" s="109">
        <f t="shared" si="41"/>
        <v>4.8884963102617036E-2</v>
      </c>
      <c r="AC58" s="109">
        <f t="shared" si="41"/>
        <v>4.6744765960384391E-2</v>
      </c>
      <c r="AD58" s="109">
        <f t="shared" si="41"/>
        <v>5.4431536030205778E-2</v>
      </c>
      <c r="AE58" s="109">
        <f t="shared" si="41"/>
        <v>0.20813199245618902</v>
      </c>
      <c r="AF58" s="109">
        <f t="shared" si="41"/>
        <v>5.5170358622379498E-2</v>
      </c>
      <c r="AG58" s="109">
        <f t="shared" si="41"/>
        <v>4.986266236466938E-2</v>
      </c>
      <c r="AH58" s="109">
        <f t="shared" si="41"/>
        <v>4.7679661279592077E-2</v>
      </c>
      <c r="AI58" s="109">
        <f t="shared" si="41"/>
        <v>5.5520166750809896E-2</v>
      </c>
      <c r="AJ58" s="109">
        <f t="shared" si="41"/>
        <v>0.21209345433166932</v>
      </c>
    </row>
    <row r="59" spans="1:46" s="30" customFormat="1" x14ac:dyDescent="0.3">
      <c r="A59" s="120" t="s">
        <v>168</v>
      </c>
      <c r="B59" s="121">
        <f>B57*B58/2</f>
        <v>98.284595959595961</v>
      </c>
      <c r="C59" s="121">
        <f t="shared" ref="C59:AJ59" si="42">C57*C58/2</f>
        <v>15.441118245050831</v>
      </c>
      <c r="D59" s="121">
        <f t="shared" si="42"/>
        <v>177.55143157894736</v>
      </c>
      <c r="E59" s="121">
        <f t="shared" si="42"/>
        <v>179.827851075366</v>
      </c>
      <c r="F59" s="121">
        <f t="shared" si="42"/>
        <v>207.39804797742238</v>
      </c>
      <c r="G59" s="121">
        <f t="shared" si="42"/>
        <v>6.6459426479560708</v>
      </c>
      <c r="H59" s="121">
        <f t="shared" si="42"/>
        <v>6.3227009389358733</v>
      </c>
      <c r="I59" s="121">
        <f t="shared" si="42"/>
        <v>12.825926652284762</v>
      </c>
      <c r="J59" s="121">
        <f t="shared" si="42"/>
        <v>7.5178056761689014</v>
      </c>
      <c r="K59" s="121">
        <f t="shared" si="42"/>
        <v>140.23201816825977</v>
      </c>
      <c r="L59" s="121">
        <f t="shared" si="42"/>
        <v>6.37111043319097</v>
      </c>
      <c r="M59" s="121">
        <f t="shared" si="42"/>
        <v>5.7581740693880272</v>
      </c>
      <c r="N59" s="121">
        <f t="shared" si="42"/>
        <v>5.5060796234555793</v>
      </c>
      <c r="O59" s="121">
        <f t="shared" si="42"/>
        <v>6.4115065131206341</v>
      </c>
      <c r="P59" s="121">
        <f t="shared" si="42"/>
        <v>98.411377112251557</v>
      </c>
      <c r="Q59" s="121">
        <f t="shared" si="42"/>
        <v>6.4985326418547897</v>
      </c>
      <c r="R59" s="121">
        <f t="shared" si="42"/>
        <v>5.8733375507757879</v>
      </c>
      <c r="S59" s="121">
        <f t="shared" si="42"/>
        <v>5.6162012159246908</v>
      </c>
      <c r="T59" s="121">
        <f t="shared" si="42"/>
        <v>6.5397366433830477</v>
      </c>
      <c r="U59" s="121">
        <f t="shared" si="42"/>
        <v>100.2476458152445</v>
      </c>
      <c r="V59" s="121">
        <f t="shared" si="42"/>
        <v>6.6285032946918854</v>
      </c>
      <c r="W59" s="121">
        <f t="shared" si="42"/>
        <v>5.9908043017913037</v>
      </c>
      <c r="X59" s="121">
        <f t="shared" si="42"/>
        <v>5.7285252402431848</v>
      </c>
      <c r="Y59" s="121">
        <f t="shared" si="42"/>
        <v>6.6705313762507084</v>
      </c>
      <c r="Z59" s="121">
        <f t="shared" si="42"/>
        <v>102.13279983767136</v>
      </c>
      <c r="AA59" s="121">
        <f t="shared" si="42"/>
        <v>6.7610733605857227</v>
      </c>
      <c r="AB59" s="121">
        <f t="shared" si="42"/>
        <v>6.1106203878271295</v>
      </c>
      <c r="AC59" s="121">
        <f t="shared" si="42"/>
        <v>5.843095745048049</v>
      </c>
      <c r="AD59" s="121">
        <f t="shared" si="42"/>
        <v>6.8039420037757221</v>
      </c>
      <c r="AE59" s="121">
        <f t="shared" si="42"/>
        <v>104.06599622809451</v>
      </c>
      <c r="AF59" s="121">
        <f t="shared" si="42"/>
        <v>6.896294827797437</v>
      </c>
      <c r="AG59" s="121">
        <f t="shared" si="42"/>
        <v>6.2328327955836729</v>
      </c>
      <c r="AH59" s="121">
        <f t="shared" si="42"/>
        <v>5.9599576599490094</v>
      </c>
      <c r="AI59" s="121">
        <f t="shared" si="42"/>
        <v>6.9400208438512374</v>
      </c>
      <c r="AJ59" s="121">
        <f t="shared" si="42"/>
        <v>106.04672716583465</v>
      </c>
    </row>
    <row r="60" spans="1:46" x14ac:dyDescent="0.3">
      <c r="A60" s="53"/>
      <c r="B60" s="97"/>
      <c r="C60" s="97"/>
      <c r="D60" s="97"/>
      <c r="E60" s="97"/>
      <c r="F60" s="97"/>
      <c r="G60" s="98"/>
      <c r="H60" s="98"/>
      <c r="I60" s="98"/>
      <c r="J60" s="98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</row>
    <row r="61" spans="1:46" s="24" customFormat="1" x14ac:dyDescent="0.3">
      <c r="A61" s="122" t="s">
        <v>179</v>
      </c>
      <c r="B61" s="108">
        <v>1881.3</v>
      </c>
      <c r="C61" s="108">
        <v>2103.5</v>
      </c>
      <c r="D61" s="108">
        <v>2317.6</v>
      </c>
      <c r="E61" s="108">
        <v>2381.1</v>
      </c>
      <c r="F61" s="108">
        <v>2377</v>
      </c>
      <c r="G61" s="108">
        <v>525.29999999999995</v>
      </c>
      <c r="H61" s="108">
        <v>468.7</v>
      </c>
      <c r="I61" s="108">
        <v>589.29999999999995</v>
      </c>
      <c r="J61" s="108">
        <f>K61-G61-H61-I61</f>
        <v>505.89999999999986</v>
      </c>
      <c r="K61" s="108">
        <v>2089.1999999999998</v>
      </c>
      <c r="L61" s="84">
        <f>(L62+1)*G61</f>
        <v>530.553</v>
      </c>
      <c r="M61" s="84">
        <f>(M62+1)*H61</f>
        <v>473.387</v>
      </c>
      <c r="N61" s="84">
        <f>(N62+1)*I61</f>
        <v>595.19299999999998</v>
      </c>
      <c r="O61" s="84">
        <f>(O62+1)*J61</f>
        <v>510.95899999999989</v>
      </c>
      <c r="P61" s="84">
        <f>SUM(L61:O61)</f>
        <v>2110.0920000000001</v>
      </c>
      <c r="Q61" s="84">
        <f>(Q62+1)*L61</f>
        <v>535.85852999999997</v>
      </c>
      <c r="R61" s="84">
        <f>(R62+1)*M61</f>
        <v>478.12087000000002</v>
      </c>
      <c r="S61" s="84">
        <f>(S62+1)*N61</f>
        <v>601.14493000000004</v>
      </c>
      <c r="T61" s="84">
        <f>(T62+1)*O61</f>
        <v>516.06858999999986</v>
      </c>
      <c r="U61" s="84">
        <f>SUM(Q61:T61)</f>
        <v>2131.19292</v>
      </c>
      <c r="V61" s="84">
        <f>(V62+1)*Q61</f>
        <v>541.21711529999993</v>
      </c>
      <c r="W61" s="84">
        <f>(W62+1)*R61</f>
        <v>482.9020787</v>
      </c>
      <c r="X61" s="84">
        <f>(X62+1)*S61</f>
        <v>607.15637930000003</v>
      </c>
      <c r="Y61" s="84">
        <f>(Y62+1)*T61</f>
        <v>521.22927589999983</v>
      </c>
      <c r="Z61" s="84">
        <f>SUM(V61:Y61)</f>
        <v>2152.5048491999996</v>
      </c>
      <c r="AA61" s="84">
        <f>(AA62+1)*V61</f>
        <v>546.62928645299996</v>
      </c>
      <c r="AB61" s="84">
        <f>(AB62+1)*W61</f>
        <v>487.73109948699999</v>
      </c>
      <c r="AC61" s="84">
        <f>(AC62+1)*X61</f>
        <v>613.22794309300002</v>
      </c>
      <c r="AD61" s="84">
        <f>(AD62+1)*Y61</f>
        <v>526.44156865899981</v>
      </c>
      <c r="AE61" s="84">
        <f>SUM(AA61:AD61)</f>
        <v>2174.0298976919998</v>
      </c>
      <c r="AF61" s="84">
        <f>(AF62+1)*AA61</f>
        <v>552.09557931753</v>
      </c>
      <c r="AG61" s="84">
        <f>(AG62+1)*AB61</f>
        <v>492.60841048187001</v>
      </c>
      <c r="AH61" s="84">
        <f>(AH62+1)*AC61</f>
        <v>619.36022252393002</v>
      </c>
      <c r="AI61" s="84">
        <f>(AI62+1)*AD61</f>
        <v>531.70598434558985</v>
      </c>
      <c r="AJ61" s="84">
        <f>SUM(AF61:AI61)</f>
        <v>2195.7701966689201</v>
      </c>
    </row>
    <row r="62" spans="1:46" s="27" customFormat="1" x14ac:dyDescent="0.3">
      <c r="A62" s="110" t="s">
        <v>124</v>
      </c>
      <c r="B62" s="89"/>
      <c r="C62" s="89">
        <f>C61/B61-1</f>
        <v>0.11810981767926432</v>
      </c>
      <c r="D62" s="89">
        <f>D61/C61-1</f>
        <v>0.10178274304730217</v>
      </c>
      <c r="E62" s="89">
        <f>E61/D61-1</f>
        <v>2.7399033482913282E-2</v>
      </c>
      <c r="F62" s="89">
        <f>F61/E61-1</f>
        <v>-1.7218932426189548E-3</v>
      </c>
      <c r="G62" s="89"/>
      <c r="H62" s="89"/>
      <c r="I62" s="89"/>
      <c r="J62" s="89"/>
      <c r="K62" s="123">
        <f>K61/F61-1</f>
        <v>-0.12107698779974763</v>
      </c>
      <c r="L62" s="111">
        <v>0.01</v>
      </c>
      <c r="M62" s="111">
        <v>0.01</v>
      </c>
      <c r="N62" s="111">
        <v>0.01</v>
      </c>
      <c r="O62" s="111">
        <v>0.01</v>
      </c>
      <c r="P62" s="123">
        <f>P61/K61-1</f>
        <v>1.0000000000000231E-2</v>
      </c>
      <c r="Q62" s="111">
        <v>0.01</v>
      </c>
      <c r="R62" s="111">
        <v>0.01</v>
      </c>
      <c r="S62" s="111">
        <v>0.01</v>
      </c>
      <c r="T62" s="111">
        <v>0.01</v>
      </c>
      <c r="U62" s="123">
        <f>U61/P61-1</f>
        <v>1.0000000000000009E-2</v>
      </c>
      <c r="V62" s="111">
        <v>0.01</v>
      </c>
      <c r="W62" s="111">
        <v>0.01</v>
      </c>
      <c r="X62" s="111">
        <v>0.01</v>
      </c>
      <c r="Y62" s="111">
        <v>0.01</v>
      </c>
      <c r="Z62" s="123">
        <f>Z61/U61-1</f>
        <v>9.9999999999997868E-3</v>
      </c>
      <c r="AA62" s="111">
        <v>0.01</v>
      </c>
      <c r="AB62" s="111">
        <v>0.01</v>
      </c>
      <c r="AC62" s="111">
        <v>0.01</v>
      </c>
      <c r="AD62" s="111">
        <v>0.01</v>
      </c>
      <c r="AE62" s="123">
        <f>AE61/Z61-1</f>
        <v>1.0000000000000009E-2</v>
      </c>
      <c r="AF62" s="111">
        <v>0.01</v>
      </c>
      <c r="AG62" s="111">
        <v>0.01</v>
      </c>
      <c r="AH62" s="111">
        <v>0.01</v>
      </c>
      <c r="AI62" s="111">
        <v>0.01</v>
      </c>
      <c r="AJ62" s="123">
        <f>AJ61/AE61-1</f>
        <v>1.0000000000000009E-2</v>
      </c>
    </row>
    <row r="63" spans="1:46" x14ac:dyDescent="0.3">
      <c r="A63" s="53"/>
      <c r="B63" s="97"/>
      <c r="C63" s="97"/>
      <c r="D63" s="97"/>
      <c r="E63" s="97"/>
      <c r="F63" s="97"/>
      <c r="G63" s="98"/>
      <c r="H63" s="98"/>
      <c r="I63" s="98"/>
      <c r="J63" s="98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</row>
    <row r="64" spans="1:46" s="41" customFormat="1" x14ac:dyDescent="0.3">
      <c r="A64" s="124" t="s">
        <v>178</v>
      </c>
      <c r="B64" s="125">
        <f t="shared" ref="B64:AJ64" si="43">B59+B55+B47+B43+B61</f>
        <v>16888.098095421767</v>
      </c>
      <c r="C64" s="125">
        <f t="shared" si="43"/>
        <v>20163.558688919438</v>
      </c>
      <c r="D64" s="125">
        <f t="shared" si="43"/>
        <v>21795.621914732634</v>
      </c>
      <c r="E64" s="125">
        <f t="shared" si="43"/>
        <v>22929.454217225404</v>
      </c>
      <c r="F64" s="125">
        <f t="shared" si="43"/>
        <v>26351.238312165289</v>
      </c>
      <c r="G64" s="125">
        <f t="shared" si="43"/>
        <v>6684.4318047800853</v>
      </c>
      <c r="H64" s="125">
        <f t="shared" si="43"/>
        <v>6318.2636845454936</v>
      </c>
      <c r="I64" s="125">
        <f t="shared" si="43"/>
        <v>6773.0223560795557</v>
      </c>
      <c r="J64" s="125">
        <f t="shared" si="43"/>
        <v>6846.9469350594836</v>
      </c>
      <c r="K64" s="125">
        <f t="shared" si="43"/>
        <v>26973.089839636083</v>
      </c>
      <c r="L64" s="125">
        <f t="shared" si="43"/>
        <v>7044.502868848157</v>
      </c>
      <c r="M64" s="125">
        <f t="shared" si="43"/>
        <v>6789.0101730304932</v>
      </c>
      <c r="N64" s="125">
        <f t="shared" si="43"/>
        <v>7307.9629984526355</v>
      </c>
      <c r="O64" s="125">
        <f t="shared" si="43"/>
        <v>7496.4292994009775</v>
      </c>
      <c r="P64" s="125">
        <f t="shared" si="43"/>
        <v>29233.048890145627</v>
      </c>
      <c r="Q64" s="125">
        <f t="shared" si="43"/>
        <v>7571.1730171889976</v>
      </c>
      <c r="R64" s="125">
        <f t="shared" si="43"/>
        <v>7354.4200724710799</v>
      </c>
      <c r="S64" s="125">
        <f t="shared" si="43"/>
        <v>7904.6428074637279</v>
      </c>
      <c r="T64" s="125">
        <f t="shared" si="43"/>
        <v>8174.0970270560138</v>
      </c>
      <c r="U64" s="125">
        <f t="shared" si="43"/>
        <v>31613.503923934033</v>
      </c>
      <c r="V64" s="125">
        <f t="shared" si="43"/>
        <v>8118.233028274035</v>
      </c>
      <c r="W64" s="125">
        <f t="shared" si="43"/>
        <v>7946.9703848370182</v>
      </c>
      <c r="X64" s="125">
        <f t="shared" si="43"/>
        <v>8529.9597911054243</v>
      </c>
      <c r="Y64" s="125">
        <f t="shared" si="43"/>
        <v>8892.7011529661959</v>
      </c>
      <c r="Z64" s="125">
        <f t="shared" si="43"/>
        <v>34113.762403372166</v>
      </c>
      <c r="AA64" s="125">
        <f t="shared" si="43"/>
        <v>8684.2005564485971</v>
      </c>
      <c r="AB64" s="125">
        <f t="shared" si="43"/>
        <v>8567.7699896786653</v>
      </c>
      <c r="AC64" s="125">
        <f t="shared" si="43"/>
        <v>9185.0855512721955</v>
      </c>
      <c r="AD64" s="125">
        <f t="shared" si="43"/>
        <v>9654.4229944923864</v>
      </c>
      <c r="AE64" s="125">
        <f t="shared" si="43"/>
        <v>36720.45225550131</v>
      </c>
      <c r="AF64" s="125">
        <f t="shared" si="43"/>
        <v>9269.6136142503638</v>
      </c>
      <c r="AG64" s="125">
        <f t="shared" si="43"/>
        <v>9217.9697344593751</v>
      </c>
      <c r="AH64" s="125">
        <f t="shared" si="43"/>
        <v>9871.236086231409</v>
      </c>
      <c r="AI64" s="125">
        <f t="shared" si="43"/>
        <v>10461.553062181227</v>
      </c>
      <c r="AJ64" s="125">
        <f t="shared" si="43"/>
        <v>39481.478249104694</v>
      </c>
    </row>
    <row r="65" spans="1:36" x14ac:dyDescent="0.3">
      <c r="A65" s="23"/>
      <c r="B65" s="20"/>
      <c r="C65" s="20"/>
      <c r="D65" s="20"/>
      <c r="E65" s="20"/>
      <c r="F65" s="20"/>
      <c r="G65" s="21"/>
      <c r="H65" s="21"/>
      <c r="I65" s="21"/>
      <c r="J65" s="21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</row>
    <row r="66" spans="1:36" x14ac:dyDescent="0.3">
      <c r="A66" s="23"/>
      <c r="B66" s="20"/>
      <c r="C66" s="20"/>
      <c r="D66" s="20"/>
      <c r="E66" s="20"/>
      <c r="F66" s="20"/>
      <c r="G66" s="21"/>
      <c r="H66" s="21"/>
      <c r="I66" s="21"/>
      <c r="J66" s="21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</row>
    <row r="67" spans="1:36" s="31" customFormat="1" x14ac:dyDescent="0.3">
      <c r="A67" s="151" t="s">
        <v>6</v>
      </c>
      <c r="B67" s="152">
        <f>'Income Statement'!B12</f>
        <v>6858.8</v>
      </c>
      <c r="C67" s="152">
        <f>'Income Statement'!C12</f>
        <v>7787.5</v>
      </c>
      <c r="D67" s="152">
        <f>'Income Statement'!H12</f>
        <v>8511.1</v>
      </c>
      <c r="E67" s="152">
        <f>'Income Statement'!M12</f>
        <v>9034.2999999999993</v>
      </c>
      <c r="F67" s="152">
        <f>'Income Statement'!R12</f>
        <v>10174.5</v>
      </c>
      <c r="G67" s="152">
        <v>2758.7</v>
      </c>
      <c r="H67" s="152">
        <v>2603.5</v>
      </c>
      <c r="I67" s="152">
        <v>2808.6</v>
      </c>
      <c r="J67" s="152">
        <f>K67-G67-H67-I67</f>
        <v>2756.1</v>
      </c>
      <c r="K67" s="152">
        <v>10926.9</v>
      </c>
      <c r="L67" s="152">
        <f>(1+L68)*G67</f>
        <v>2951.8090000000002</v>
      </c>
      <c r="M67" s="152">
        <f>(1+M68)*H67</f>
        <v>2785.7450000000003</v>
      </c>
      <c r="N67" s="152">
        <f>(1+N68)*I67</f>
        <v>3005.2020000000002</v>
      </c>
      <c r="O67" s="152">
        <f>(1+O68)*J67</f>
        <v>2949.027</v>
      </c>
      <c r="P67" s="152">
        <f>K67*(1+K68)</f>
        <v>11734.939663865545</v>
      </c>
      <c r="Q67" s="152">
        <f>(1+Q68)*L67</f>
        <v>3158.4356300000004</v>
      </c>
      <c r="R67" s="152">
        <f>(1+R68)*M67</f>
        <v>2980.7471500000006</v>
      </c>
      <c r="S67" s="152">
        <f>(1+S68)*N67</f>
        <v>3215.5661400000004</v>
      </c>
      <c r="T67" s="152">
        <f>(1+T68)*O67</f>
        <v>3155.4588900000003</v>
      </c>
      <c r="U67" s="152">
        <f>P67*(1+P68)</f>
        <v>12556.385440336135</v>
      </c>
      <c r="V67" s="152">
        <f>(1+V68)*Q67</f>
        <v>3379.5261241000007</v>
      </c>
      <c r="W67" s="152">
        <f>(1+W68)*R67</f>
        <v>3189.399450500001</v>
      </c>
      <c r="X67" s="152">
        <f>(1+X68)*S67</f>
        <v>3440.6557698000006</v>
      </c>
      <c r="Y67" s="152">
        <f>(1+Y68)*T67</f>
        <v>3376.3410123000008</v>
      </c>
      <c r="Z67" s="152">
        <f>U67*(1+U68)</f>
        <v>13435.332421159665</v>
      </c>
      <c r="AA67" s="152">
        <f>(1+AA68)*V67</f>
        <v>3616.0929527870012</v>
      </c>
      <c r="AB67" s="152">
        <f>(1+AB68)*W67</f>
        <v>3412.657412035001</v>
      </c>
      <c r="AC67" s="152">
        <f>(1+AC68)*X67</f>
        <v>3681.5016736860007</v>
      </c>
      <c r="AD67" s="152">
        <f>(1+AD68)*Y67</f>
        <v>3612.6848831610009</v>
      </c>
      <c r="AE67" s="152">
        <f>Z67*(1+Z68)</f>
        <v>14375.805690640842</v>
      </c>
      <c r="AF67" s="152">
        <f>(1+AF68)*AA67</f>
        <v>3869.2194594820917</v>
      </c>
      <c r="AG67" s="152">
        <f>(1+AG68)*AB67</f>
        <v>3651.5434308774511</v>
      </c>
      <c r="AH67" s="152">
        <f>(1+AH68)*AC67</f>
        <v>3939.2067908440208</v>
      </c>
      <c r="AI67" s="152">
        <f>(1+AI68)*AD67</f>
        <v>3865.5728249822714</v>
      </c>
      <c r="AJ67" s="152">
        <f>AE67*(1+AE68)</f>
        <v>15382.112088985701</v>
      </c>
    </row>
    <row r="68" spans="1:36" s="28" customFormat="1" x14ac:dyDescent="0.3">
      <c r="A68" s="110" t="s">
        <v>124</v>
      </c>
      <c r="B68" s="153"/>
      <c r="C68" s="153">
        <f>C67/B67-1</f>
        <v>0.13540269434886576</v>
      </c>
      <c r="D68" s="153">
        <f>D67/C67-1</f>
        <v>9.2918138041733656E-2</v>
      </c>
      <c r="E68" s="153">
        <f>E67/D67-1</f>
        <v>6.1472665107917823E-2</v>
      </c>
      <c r="F68" s="153">
        <f>F67/E67-1</f>
        <v>0.12620789657195375</v>
      </c>
      <c r="G68" s="153"/>
      <c r="H68" s="153"/>
      <c r="I68" s="153"/>
      <c r="J68" s="153"/>
      <c r="K68" s="153">
        <f>K67/F67-1</f>
        <v>7.3949579831932732E-2</v>
      </c>
      <c r="L68" s="154">
        <v>7.0000000000000007E-2</v>
      </c>
      <c r="M68" s="154">
        <v>7.0000000000000007E-2</v>
      </c>
      <c r="N68" s="154">
        <v>7.0000000000000007E-2</v>
      </c>
      <c r="O68" s="154">
        <v>7.0000000000000007E-2</v>
      </c>
      <c r="P68" s="154">
        <v>7.0000000000000007E-2</v>
      </c>
      <c r="Q68" s="154">
        <v>7.0000000000000007E-2</v>
      </c>
      <c r="R68" s="154">
        <v>7.0000000000000007E-2</v>
      </c>
      <c r="S68" s="154">
        <v>7.0000000000000007E-2</v>
      </c>
      <c r="T68" s="154">
        <v>7.0000000000000007E-2</v>
      </c>
      <c r="U68" s="154">
        <v>7.0000000000000007E-2</v>
      </c>
      <c r="V68" s="154">
        <v>7.0000000000000007E-2</v>
      </c>
      <c r="W68" s="154">
        <v>7.0000000000000007E-2</v>
      </c>
      <c r="X68" s="154">
        <v>7.0000000000000007E-2</v>
      </c>
      <c r="Y68" s="154">
        <v>7.0000000000000007E-2</v>
      </c>
      <c r="Z68" s="154">
        <v>7.0000000000000007E-2</v>
      </c>
      <c r="AA68" s="154">
        <v>7.0000000000000007E-2</v>
      </c>
      <c r="AB68" s="154">
        <v>7.0000000000000007E-2</v>
      </c>
      <c r="AC68" s="154">
        <v>7.0000000000000007E-2</v>
      </c>
      <c r="AD68" s="154">
        <v>7.0000000000000007E-2</v>
      </c>
      <c r="AE68" s="154">
        <v>7.0000000000000007E-2</v>
      </c>
      <c r="AF68" s="154">
        <v>7.0000000000000007E-2</v>
      </c>
      <c r="AG68" s="154">
        <v>7.0000000000000007E-2</v>
      </c>
      <c r="AH68" s="154">
        <v>7.0000000000000007E-2</v>
      </c>
      <c r="AI68" s="154">
        <v>7.0000000000000007E-2</v>
      </c>
      <c r="AJ68" s="154">
        <v>7.0000000000000007E-2</v>
      </c>
    </row>
    <row r="69" spans="1:36" x14ac:dyDescent="0.3">
      <c r="A69" s="53" t="s">
        <v>36</v>
      </c>
      <c r="B69" s="54">
        <f>B67</f>
        <v>6858.8</v>
      </c>
      <c r="C69" s="54">
        <f t="shared" ref="C69:AJ69" si="44">C67</f>
        <v>7787.5</v>
      </c>
      <c r="D69" s="54">
        <f t="shared" si="44"/>
        <v>8511.1</v>
      </c>
      <c r="E69" s="54">
        <f t="shared" si="44"/>
        <v>9034.2999999999993</v>
      </c>
      <c r="F69" s="54">
        <f t="shared" si="44"/>
        <v>10174.5</v>
      </c>
      <c r="G69" s="54">
        <f t="shared" si="44"/>
        <v>2758.7</v>
      </c>
      <c r="H69" s="54">
        <f t="shared" si="44"/>
        <v>2603.5</v>
      </c>
      <c r="I69" s="54">
        <f t="shared" si="44"/>
        <v>2808.6</v>
      </c>
      <c r="J69" s="54">
        <f t="shared" si="44"/>
        <v>2756.1</v>
      </c>
      <c r="K69" s="54">
        <f t="shared" si="44"/>
        <v>10926.9</v>
      </c>
      <c r="L69" s="54">
        <f t="shared" si="44"/>
        <v>2951.8090000000002</v>
      </c>
      <c r="M69" s="54">
        <f t="shared" si="44"/>
        <v>2785.7450000000003</v>
      </c>
      <c r="N69" s="54">
        <f t="shared" si="44"/>
        <v>3005.2020000000002</v>
      </c>
      <c r="O69" s="54">
        <f t="shared" si="44"/>
        <v>2949.027</v>
      </c>
      <c r="P69" s="54">
        <f t="shared" si="44"/>
        <v>11734.939663865545</v>
      </c>
      <c r="Q69" s="54">
        <f t="shared" si="44"/>
        <v>3158.4356300000004</v>
      </c>
      <c r="R69" s="54">
        <f t="shared" si="44"/>
        <v>2980.7471500000006</v>
      </c>
      <c r="S69" s="54">
        <f t="shared" si="44"/>
        <v>3215.5661400000004</v>
      </c>
      <c r="T69" s="54">
        <f t="shared" si="44"/>
        <v>3155.4588900000003</v>
      </c>
      <c r="U69" s="54">
        <f t="shared" si="44"/>
        <v>12556.385440336135</v>
      </c>
      <c r="V69" s="54">
        <f t="shared" si="44"/>
        <v>3379.5261241000007</v>
      </c>
      <c r="W69" s="54">
        <f t="shared" si="44"/>
        <v>3189.399450500001</v>
      </c>
      <c r="X69" s="54">
        <f t="shared" si="44"/>
        <v>3440.6557698000006</v>
      </c>
      <c r="Y69" s="54">
        <f t="shared" si="44"/>
        <v>3376.3410123000008</v>
      </c>
      <c r="Z69" s="54">
        <f t="shared" si="44"/>
        <v>13435.332421159665</v>
      </c>
      <c r="AA69" s="54">
        <f t="shared" si="44"/>
        <v>3616.0929527870012</v>
      </c>
      <c r="AB69" s="54">
        <f t="shared" si="44"/>
        <v>3412.657412035001</v>
      </c>
      <c r="AC69" s="54">
        <f t="shared" si="44"/>
        <v>3681.5016736860007</v>
      </c>
      <c r="AD69" s="54">
        <f t="shared" si="44"/>
        <v>3612.6848831610009</v>
      </c>
      <c r="AE69" s="54">
        <f t="shared" si="44"/>
        <v>14375.805690640842</v>
      </c>
      <c r="AF69" s="54">
        <f t="shared" si="44"/>
        <v>3869.2194594820917</v>
      </c>
      <c r="AG69" s="54">
        <f t="shared" si="44"/>
        <v>3651.5434308774511</v>
      </c>
      <c r="AH69" s="54">
        <f t="shared" si="44"/>
        <v>3939.2067908440208</v>
      </c>
      <c r="AI69" s="54">
        <f t="shared" si="44"/>
        <v>3865.5728249822714</v>
      </c>
      <c r="AJ69" s="54">
        <f t="shared" si="44"/>
        <v>15382.112088985701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M46"/>
  <sheetViews>
    <sheetView showGridLines="0" workbookViewId="0">
      <selection activeCell="K14" sqref="K14"/>
    </sheetView>
    <sheetView showGridLines="0" zoomScale="75" zoomScaleNormal="75" workbookViewId="1">
      <selection activeCell="E12" sqref="E12"/>
    </sheetView>
  </sheetViews>
  <sheetFormatPr defaultColWidth="8.77734375" defaultRowHeight="14.4" x14ac:dyDescent="0.3"/>
  <cols>
    <col min="2" max="2" width="26" bestFit="1" customWidth="1"/>
    <col min="3" max="3" width="27.33203125" bestFit="1" customWidth="1"/>
    <col min="4" max="5" width="13.44140625" customWidth="1"/>
    <col min="6" max="6" width="27.33203125" bestFit="1" customWidth="1"/>
    <col min="7" max="9" width="13.44140625" customWidth="1"/>
    <col min="10" max="10" width="9.44140625" bestFit="1" customWidth="1"/>
    <col min="11" max="11" width="20.44140625" customWidth="1"/>
    <col min="13" max="13" width="20.44140625" bestFit="1" customWidth="1"/>
  </cols>
  <sheetData>
    <row r="1" spans="2:13" ht="15" thickBot="1" x14ac:dyDescent="0.35">
      <c r="B1" s="63"/>
      <c r="C1" s="63">
        <v>0.25</v>
      </c>
      <c r="D1" s="63">
        <v>1.25</v>
      </c>
      <c r="E1" s="63">
        <v>2.25</v>
      </c>
      <c r="F1" s="63">
        <v>3.25</v>
      </c>
      <c r="G1" s="63">
        <v>4.25</v>
      </c>
      <c r="H1" s="63">
        <v>5.25</v>
      </c>
      <c r="I1" s="63"/>
      <c r="J1" s="63"/>
      <c r="K1" s="63"/>
      <c r="L1" s="63"/>
      <c r="M1" s="63"/>
    </row>
    <row r="2" spans="2:13" x14ac:dyDescent="0.3">
      <c r="B2" s="126" t="s">
        <v>182</v>
      </c>
      <c r="C2" s="127" t="s">
        <v>117</v>
      </c>
      <c r="D2" s="127" t="s">
        <v>118</v>
      </c>
      <c r="E2" s="127" t="s">
        <v>119</v>
      </c>
      <c r="F2" s="127" t="s">
        <v>120</v>
      </c>
      <c r="G2" s="127" t="s">
        <v>121</v>
      </c>
      <c r="H2" s="128" t="s">
        <v>122</v>
      </c>
      <c r="I2" s="63"/>
      <c r="J2" s="210" t="s">
        <v>183</v>
      </c>
      <c r="K2" s="212"/>
      <c r="L2" s="63"/>
      <c r="M2" s="63"/>
    </row>
    <row r="3" spans="2:13" s="32" customFormat="1" x14ac:dyDescent="0.3">
      <c r="B3" s="129" t="s">
        <v>48</v>
      </c>
      <c r="C3" s="158">
        <f>'Income Statement'!S48</f>
        <v>5759.6268000000018</v>
      </c>
      <c r="D3" s="158">
        <f>'Income Statement'!T48</f>
        <v>6638.3386702444532</v>
      </c>
      <c r="E3" s="158">
        <f>'Income Statement'!U48</f>
        <v>7291.0866458551</v>
      </c>
      <c r="F3" s="158">
        <f>'Income Statement'!V48</f>
        <v>7960.4026719363364</v>
      </c>
      <c r="G3" s="158">
        <f>'Income Statement'!W48</f>
        <v>8633.9980303490884</v>
      </c>
      <c r="H3" s="159">
        <f>'Income Statement'!X48</f>
        <v>9337.1713383220231</v>
      </c>
      <c r="I3" s="130"/>
      <c r="J3" s="131" t="s">
        <v>184</v>
      </c>
      <c r="K3" s="132">
        <f>'Balance Sheet'!F64/('Balance Sheet'!F39+'Balance Sheet'!F64)</f>
        <v>0.49791382833787473</v>
      </c>
      <c r="L3" s="130"/>
      <c r="M3" s="130"/>
    </row>
    <row r="4" spans="2:13" x14ac:dyDescent="0.3">
      <c r="B4" s="133" t="s">
        <v>300</v>
      </c>
      <c r="C4" s="114">
        <f>'Income Statement'!S30</f>
        <v>4400.1120720000017</v>
      </c>
      <c r="D4" s="114">
        <f>'Income Statement'!T30</f>
        <v>5089.3937854363103</v>
      </c>
      <c r="E4" s="114">
        <f>'Income Statement'!U30</f>
        <v>5537.2862556198643</v>
      </c>
      <c r="F4" s="114">
        <f>'Income Statement'!V30</f>
        <v>5985.5451013272486</v>
      </c>
      <c r="G4" s="114">
        <f>'Income Statement'!W30</f>
        <v>6421.191929124353</v>
      </c>
      <c r="H4" s="160">
        <f>'Income Statement'!X30</f>
        <v>6868.5252580430897</v>
      </c>
      <c r="I4" s="63"/>
      <c r="J4" s="131" t="s">
        <v>185</v>
      </c>
      <c r="K4" s="132">
        <f>K15</f>
        <v>0.10799110642385926</v>
      </c>
      <c r="L4" s="63"/>
      <c r="M4" s="63"/>
    </row>
    <row r="5" spans="2:13" x14ac:dyDescent="0.3">
      <c r="B5" s="133" t="s">
        <v>194</v>
      </c>
      <c r="C5" s="134">
        <f>'Cash Flows'!G5</f>
        <v>1359.5147279999999</v>
      </c>
      <c r="D5" s="134">
        <f>'Cash Flows'!H5</f>
        <v>1548.9448848081433</v>
      </c>
      <c r="E5" s="134">
        <f>'Cash Flows'!I5</f>
        <v>1753.8003902352359</v>
      </c>
      <c r="F5" s="134">
        <f>'Cash Flows'!J5</f>
        <v>1974.8575706090876</v>
      </c>
      <c r="G5" s="134">
        <f>'Cash Flows'!K5</f>
        <v>2212.8061012247358</v>
      </c>
      <c r="H5" s="135">
        <f>'Cash Flows'!L5</f>
        <v>2468.6460802789343</v>
      </c>
      <c r="I5" s="63"/>
      <c r="J5" s="131" t="s">
        <v>281</v>
      </c>
      <c r="K5" s="132">
        <f>1-K3</f>
        <v>0.50208617166212521</v>
      </c>
      <c r="L5" s="63"/>
      <c r="M5" s="63"/>
    </row>
    <row r="6" spans="2:13" x14ac:dyDescent="0.3">
      <c r="B6" s="133" t="s">
        <v>195</v>
      </c>
      <c r="C6" s="134">
        <f>'Income Statement'!S42</f>
        <v>999.13341440000045</v>
      </c>
      <c r="D6" s="134">
        <f>'Income Statement'!T42</f>
        <v>1011.1144070872621</v>
      </c>
      <c r="E6" s="134">
        <f>'Income Statement'!U42</f>
        <v>1093.9362486239729</v>
      </c>
      <c r="F6" s="134">
        <f>'Income Statement'!V42</f>
        <v>1175.8178673904499</v>
      </c>
      <c r="G6" s="134">
        <f>'Income Statement'!W42</f>
        <v>1254.0115600186207</v>
      </c>
      <c r="H6" s="135">
        <f>'Income Statement'!X42</f>
        <v>1333.2022019314306</v>
      </c>
      <c r="I6" s="63"/>
      <c r="J6" s="131" t="s">
        <v>186</v>
      </c>
      <c r="K6" s="132">
        <v>4.1799999999999997E-2</v>
      </c>
      <c r="L6" s="63"/>
      <c r="M6" s="63"/>
    </row>
    <row r="7" spans="2:13" x14ac:dyDescent="0.3">
      <c r="B7" s="133" t="s">
        <v>284</v>
      </c>
      <c r="C7" s="134">
        <f>'Cash Flows'!G45</f>
        <v>531.30063013698691</v>
      </c>
      <c r="D7" s="134">
        <f>'Cash Flows'!H45</f>
        <v>229.77654516354062</v>
      </c>
      <c r="E7" s="134">
        <f>'Cash Flows'!I45</f>
        <v>203.40628087265941</v>
      </c>
      <c r="F7" s="134">
        <f>'Cash Flows'!J45</f>
        <v>254.00267247220472</v>
      </c>
      <c r="G7" s="134">
        <f>'Cash Flows'!K45</f>
        <v>205.32369763364886</v>
      </c>
      <c r="H7" s="135">
        <f>'Cash Flows'!L45</f>
        <v>167.19899493265939</v>
      </c>
      <c r="I7" s="63"/>
      <c r="J7" s="131" t="s">
        <v>187</v>
      </c>
      <c r="K7" s="136">
        <f>'Income Statement'!R43</f>
        <v>0.21833910034602075</v>
      </c>
      <c r="L7" s="63"/>
      <c r="M7" s="63"/>
    </row>
    <row r="8" spans="2:13" ht="15" thickBot="1" x14ac:dyDescent="0.35">
      <c r="B8" s="200" t="s">
        <v>285</v>
      </c>
      <c r="C8" s="201">
        <f>'Cash Flows'!G26</f>
        <v>-1908.6192000000001</v>
      </c>
      <c r="D8" s="201">
        <f>'Cash Flows'!H26</f>
        <v>-2104.7795200904848</v>
      </c>
      <c r="E8" s="201">
        <f>'Cash Flows'!I26</f>
        <v>-2276.17228252325</v>
      </c>
      <c r="F8" s="201">
        <f>'Cash Flows'!J26</f>
        <v>-2456.1908930427958</v>
      </c>
      <c r="G8" s="201">
        <f>'Cash Flows'!K26</f>
        <v>-2643.8725623960941</v>
      </c>
      <c r="H8" s="202">
        <f>'Cash Flows'!L26</f>
        <v>-2842.6664339355375</v>
      </c>
      <c r="I8" s="63"/>
      <c r="J8" s="137" t="s">
        <v>183</v>
      </c>
      <c r="K8" s="138">
        <f>K3*K4+K5*K6*(1-K7)</f>
        <v>7.0175140403317612E-2</v>
      </c>
      <c r="L8" s="63"/>
      <c r="M8" s="85"/>
    </row>
    <row r="9" spans="2:13" x14ac:dyDescent="0.3">
      <c r="B9" s="205" t="s">
        <v>188</v>
      </c>
      <c r="C9" s="206">
        <f>C4+C5-C6-C7-C8</f>
        <v>6137.8119554630148</v>
      </c>
      <c r="D9" s="206">
        <f t="shared" ref="D9:H9" si="0">D4+D5-D6-D7-D8</f>
        <v>7502.227238084135</v>
      </c>
      <c r="E9" s="206">
        <f t="shared" si="0"/>
        <v>8269.9163988817181</v>
      </c>
      <c r="F9" s="206">
        <f t="shared" si="0"/>
        <v>8986.7730251164776</v>
      </c>
      <c r="G9" s="206">
        <f t="shared" si="0"/>
        <v>9818.5353350929126</v>
      </c>
      <c r="H9" s="207">
        <f t="shared" si="0"/>
        <v>10679.436575393471</v>
      </c>
      <c r="I9" s="63"/>
      <c r="J9" s="63"/>
      <c r="K9" s="63"/>
      <c r="L9" s="63"/>
      <c r="M9" s="63"/>
    </row>
    <row r="10" spans="2:13" ht="15" thickBot="1" x14ac:dyDescent="0.35">
      <c r="B10" s="133" t="s">
        <v>193</v>
      </c>
      <c r="C10" s="134">
        <f>C9/4*(1+K8)^C1</f>
        <v>1560.6923515610272</v>
      </c>
      <c r="D10" s="134">
        <f>D9/4*(1+K8)^D1</f>
        <v>2041.4972353236956</v>
      </c>
      <c r="E10" s="134">
        <f>E9/4*(1+K8)^E1</f>
        <v>2408.3220344114152</v>
      </c>
      <c r="F10" s="134">
        <f>F9/4*(1+K8)^F1</f>
        <v>2800.7353392067871</v>
      </c>
      <c r="G10" s="134">
        <f>G9/4*(1+K8)^G1</f>
        <v>3274.6875145536105</v>
      </c>
      <c r="H10" s="135">
        <f>H9/4*(1+K8)^H1</f>
        <v>3811.7670864306747</v>
      </c>
      <c r="I10" s="63"/>
      <c r="J10" s="63"/>
      <c r="K10" s="63"/>
      <c r="L10" s="63"/>
      <c r="M10" s="63"/>
    </row>
    <row r="11" spans="2:13" x14ac:dyDescent="0.3">
      <c r="B11" s="133"/>
      <c r="C11" s="134"/>
      <c r="D11" s="134"/>
      <c r="E11" s="134"/>
      <c r="F11" s="134"/>
      <c r="G11" s="134"/>
      <c r="H11" s="135"/>
      <c r="I11" s="63"/>
      <c r="J11" s="210" t="s">
        <v>189</v>
      </c>
      <c r="K11" s="212"/>
      <c r="L11" s="63"/>
      <c r="M11" s="63"/>
    </row>
    <row r="12" spans="2:13" ht="15" thickBot="1" x14ac:dyDescent="0.35">
      <c r="B12" s="139" t="s">
        <v>202</v>
      </c>
      <c r="C12" s="140">
        <f>SUM(C10:H10)</f>
        <v>15897.701561487211</v>
      </c>
      <c r="D12" s="140"/>
      <c r="E12" s="140"/>
      <c r="F12" s="140"/>
      <c r="G12" s="140"/>
      <c r="H12" s="141"/>
      <c r="I12" s="63"/>
      <c r="J12" s="131" t="s">
        <v>190</v>
      </c>
      <c r="K12" s="161">
        <f>0.8*(1+(1-K7)*'Balance Sheet'!F51/'Balance Sheet'!F4)</f>
        <v>1.4491740949976226</v>
      </c>
      <c r="L12" s="63"/>
      <c r="M12" s="63"/>
    </row>
    <row r="13" spans="2:13" ht="15" thickBot="1" x14ac:dyDescent="0.35">
      <c r="B13" s="63"/>
      <c r="C13" s="63"/>
      <c r="D13" s="63"/>
      <c r="E13" s="63"/>
      <c r="F13" s="63"/>
      <c r="G13" s="63"/>
      <c r="H13" s="63"/>
      <c r="I13" s="63"/>
      <c r="J13" s="131" t="s">
        <v>191</v>
      </c>
      <c r="K13" s="132">
        <v>5.9200000000000003E-2</v>
      </c>
      <c r="L13" s="63"/>
      <c r="M13" s="63"/>
    </row>
    <row r="14" spans="2:13" x14ac:dyDescent="0.3">
      <c r="B14" s="63"/>
      <c r="C14" s="217" t="s">
        <v>301</v>
      </c>
      <c r="D14" s="218"/>
      <c r="E14" s="63"/>
      <c r="F14" s="217" t="s">
        <v>196</v>
      </c>
      <c r="G14" s="219"/>
      <c r="H14" s="63"/>
      <c r="I14" s="63"/>
      <c r="J14" s="131" t="s">
        <v>192</v>
      </c>
      <c r="K14" s="132">
        <v>2.2200000000000001E-2</v>
      </c>
      <c r="L14" s="63"/>
      <c r="M14" s="63"/>
    </row>
    <row r="15" spans="2:13" ht="15" thickBot="1" x14ac:dyDescent="0.35">
      <c r="B15" s="63"/>
      <c r="C15" s="142">
        <v>2025</v>
      </c>
      <c r="D15" s="135">
        <f>H9*(1+D16)</f>
        <v>10786.230941147405</v>
      </c>
      <c r="E15" s="63"/>
      <c r="F15" s="131" t="s">
        <v>200</v>
      </c>
      <c r="G15" s="197">
        <v>18</v>
      </c>
      <c r="H15" s="63"/>
      <c r="I15" s="63"/>
      <c r="J15" s="137" t="s">
        <v>185</v>
      </c>
      <c r="K15" s="143">
        <f>K12*K13+K14</f>
        <v>0.10799110642385926</v>
      </c>
      <c r="L15" s="63"/>
      <c r="M15" s="63"/>
    </row>
    <row r="16" spans="2:13" x14ac:dyDescent="0.3">
      <c r="B16" s="63"/>
      <c r="C16" s="131" t="s">
        <v>197</v>
      </c>
      <c r="D16" s="144">
        <v>0.01</v>
      </c>
      <c r="E16" s="63"/>
      <c r="F16" s="131" t="s">
        <v>199</v>
      </c>
      <c r="G16" s="145">
        <f>H3*G15</f>
        <v>168069.08408979641</v>
      </c>
      <c r="H16" s="63"/>
      <c r="I16" s="63"/>
      <c r="J16" s="63"/>
      <c r="K16" s="63"/>
      <c r="L16" s="63"/>
      <c r="M16" s="63"/>
    </row>
    <row r="17" spans="2:13" x14ac:dyDescent="0.3">
      <c r="B17" s="63"/>
      <c r="C17" s="131" t="s">
        <v>198</v>
      </c>
      <c r="D17" s="132">
        <f>K8-D16</f>
        <v>6.017514040331761E-2</v>
      </c>
      <c r="E17" s="63"/>
      <c r="F17" s="131" t="s">
        <v>201</v>
      </c>
      <c r="G17" s="145">
        <f>G16/(1+K8)^H1</f>
        <v>117719.88444748962</v>
      </c>
      <c r="H17" s="63"/>
      <c r="I17" s="63"/>
      <c r="J17" s="63"/>
      <c r="K17" s="63"/>
      <c r="L17" s="63"/>
      <c r="M17" s="63"/>
    </row>
    <row r="18" spans="2:13" x14ac:dyDescent="0.3">
      <c r="B18" s="63"/>
      <c r="C18" s="131" t="s">
        <v>199</v>
      </c>
      <c r="D18" s="135">
        <f>D15/D17</f>
        <v>179247.29163660968</v>
      </c>
      <c r="E18" s="63"/>
      <c r="F18" s="131" t="s">
        <v>203</v>
      </c>
      <c r="G18" s="145">
        <f>G17+C12</f>
        <v>133617.58600897682</v>
      </c>
      <c r="H18" s="63"/>
      <c r="I18" s="63"/>
      <c r="J18" s="63"/>
      <c r="K18" s="63"/>
      <c r="L18" s="63"/>
      <c r="M18" s="63"/>
    </row>
    <row r="19" spans="2:13" x14ac:dyDescent="0.3">
      <c r="B19" s="63"/>
      <c r="C19" s="131" t="s">
        <v>201</v>
      </c>
      <c r="D19" s="135">
        <f>D18/(1+K8)^H1</f>
        <v>125549.38686827899</v>
      </c>
      <c r="E19" s="63"/>
      <c r="F19" s="131" t="s">
        <v>204</v>
      </c>
      <c r="G19" s="145">
        <f>'Balance Sheet'!F51</f>
        <v>9090.2000000000007</v>
      </c>
      <c r="H19" s="63"/>
      <c r="I19" s="63"/>
      <c r="J19" s="63"/>
      <c r="K19" s="63"/>
      <c r="L19" s="63"/>
      <c r="M19" s="63"/>
    </row>
    <row r="20" spans="2:13" x14ac:dyDescent="0.3">
      <c r="B20" s="63"/>
      <c r="C20" s="131" t="s">
        <v>203</v>
      </c>
      <c r="D20" s="135">
        <f>D19+C12</f>
        <v>141447.08842976621</v>
      </c>
      <c r="E20" s="63"/>
      <c r="F20" s="131" t="s">
        <v>205</v>
      </c>
      <c r="G20" s="145">
        <f>'Balance Sheet'!F4</f>
        <v>8756.2999999999993</v>
      </c>
      <c r="H20" s="63"/>
      <c r="I20" s="63"/>
      <c r="J20" s="63"/>
      <c r="K20" s="63"/>
      <c r="L20" s="63"/>
      <c r="M20" s="63"/>
    </row>
    <row r="21" spans="2:13" x14ac:dyDescent="0.3">
      <c r="B21" s="63"/>
      <c r="C21" s="131" t="s">
        <v>204</v>
      </c>
      <c r="D21" s="135">
        <f>'Balance Sheet'!F51</f>
        <v>9090.2000000000007</v>
      </c>
      <c r="E21" s="63"/>
      <c r="F21" s="131" t="s">
        <v>206</v>
      </c>
      <c r="G21" s="145">
        <f>G18-G19+G20</f>
        <v>133283.68600897683</v>
      </c>
      <c r="H21" s="63"/>
      <c r="I21" s="63"/>
      <c r="J21" s="63"/>
      <c r="K21" s="63"/>
      <c r="L21" s="63"/>
      <c r="M21" s="63"/>
    </row>
    <row r="22" spans="2:13" x14ac:dyDescent="0.3">
      <c r="B22" s="63"/>
      <c r="C22" s="131" t="s">
        <v>205</v>
      </c>
      <c r="D22" s="135">
        <f>'Balance Sheet'!F4</f>
        <v>8756.2999999999993</v>
      </c>
      <c r="E22" s="63"/>
      <c r="F22" s="131" t="s">
        <v>207</v>
      </c>
      <c r="G22" s="135">
        <v>1233.2</v>
      </c>
      <c r="H22" s="63"/>
      <c r="I22" s="63"/>
      <c r="J22" s="63"/>
      <c r="K22" s="63"/>
      <c r="L22" s="63"/>
      <c r="M22" s="63"/>
    </row>
    <row r="23" spans="2:13" x14ac:dyDescent="0.3">
      <c r="B23" s="63"/>
      <c r="C23" s="131" t="s">
        <v>206</v>
      </c>
      <c r="D23" s="135">
        <f>D20-D21+D22</f>
        <v>141113.18842976619</v>
      </c>
      <c r="E23" s="63"/>
      <c r="F23" s="208" t="s">
        <v>208</v>
      </c>
      <c r="G23" s="146">
        <f>G21/G22</f>
        <v>108.07953779514825</v>
      </c>
      <c r="H23" s="63"/>
      <c r="I23" s="63"/>
      <c r="J23" s="63"/>
      <c r="K23" s="63"/>
      <c r="L23" s="63"/>
      <c r="M23" s="63"/>
    </row>
    <row r="24" spans="2:13" x14ac:dyDescent="0.3">
      <c r="B24" s="63"/>
      <c r="C24" s="131" t="s">
        <v>207</v>
      </c>
      <c r="D24" s="135">
        <v>1233.2</v>
      </c>
      <c r="E24" s="63"/>
      <c r="F24" s="131" t="s">
        <v>209</v>
      </c>
      <c r="G24" s="146">
        <v>85.4</v>
      </c>
      <c r="H24" s="63"/>
      <c r="I24" s="63"/>
      <c r="J24" s="63"/>
      <c r="K24" s="63"/>
      <c r="L24" s="63"/>
      <c r="M24" s="63"/>
    </row>
    <row r="25" spans="2:13" ht="15" thickBot="1" x14ac:dyDescent="0.35">
      <c r="B25" s="63"/>
      <c r="C25" s="208" t="s">
        <v>208</v>
      </c>
      <c r="D25" s="146">
        <f>D23/D24</f>
        <v>114.42846937217497</v>
      </c>
      <c r="E25" s="63"/>
      <c r="F25" s="209" t="s">
        <v>210</v>
      </c>
      <c r="G25" s="147">
        <f>(G23-G24)/G24</f>
        <v>0.26556835825700525</v>
      </c>
      <c r="H25" s="63"/>
      <c r="I25" s="63"/>
      <c r="J25" s="63"/>
      <c r="K25" s="63"/>
      <c r="L25" s="63"/>
      <c r="M25" s="63"/>
    </row>
    <row r="26" spans="2:13" x14ac:dyDescent="0.3">
      <c r="B26" s="63"/>
      <c r="C26" s="131" t="s">
        <v>209</v>
      </c>
      <c r="D26" s="146">
        <v>85.4</v>
      </c>
      <c r="E26" s="63"/>
      <c r="F26" s="63"/>
      <c r="G26" s="63"/>
      <c r="H26" s="63"/>
      <c r="I26" s="63"/>
      <c r="J26" s="63"/>
      <c r="K26" s="63"/>
      <c r="L26" s="63"/>
      <c r="M26" s="63"/>
    </row>
    <row r="27" spans="2:13" ht="15" thickBot="1" x14ac:dyDescent="0.35">
      <c r="B27" s="63"/>
      <c r="C27" s="209" t="s">
        <v>210</v>
      </c>
      <c r="D27" s="147">
        <f>(D25-D26)/D26</f>
        <v>0.33991181934631109</v>
      </c>
      <c r="E27" s="63"/>
      <c r="F27" s="63"/>
      <c r="G27" s="63"/>
      <c r="H27" s="63"/>
      <c r="I27" s="63"/>
      <c r="J27" s="63"/>
      <c r="K27" s="63"/>
      <c r="L27" s="63"/>
      <c r="M27" s="63"/>
    </row>
    <row r="28" spans="2:13" ht="15" thickBot="1" x14ac:dyDescent="0.35"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</row>
    <row r="29" spans="2:13" x14ac:dyDescent="0.3">
      <c r="B29" s="63"/>
      <c r="C29" s="210" t="s">
        <v>211</v>
      </c>
      <c r="D29" s="211"/>
      <c r="E29" s="211"/>
      <c r="F29" s="211"/>
      <c r="G29" s="211"/>
      <c r="H29" s="211"/>
      <c r="I29" s="212"/>
      <c r="J29" s="63"/>
      <c r="K29" s="63"/>
      <c r="L29" s="63"/>
      <c r="M29" s="63"/>
    </row>
    <row r="30" spans="2:13" x14ac:dyDescent="0.3">
      <c r="B30" s="63"/>
      <c r="C30" s="131"/>
      <c r="D30" s="63"/>
      <c r="E30" s="213" t="s">
        <v>212</v>
      </c>
      <c r="F30" s="213"/>
      <c r="G30" s="213"/>
      <c r="H30" s="213"/>
      <c r="I30" s="214"/>
      <c r="J30" s="63"/>
      <c r="K30" s="63"/>
      <c r="L30" s="63"/>
      <c r="M30" s="63"/>
    </row>
    <row r="31" spans="2:13" x14ac:dyDescent="0.3">
      <c r="B31" s="63"/>
      <c r="C31" s="131"/>
      <c r="D31" s="148">
        <f>D27</f>
        <v>0.33991181934631109</v>
      </c>
      <c r="E31" s="189">
        <v>0</v>
      </c>
      <c r="F31" s="189">
        <v>5.0000000000000001E-3</v>
      </c>
      <c r="G31" s="189">
        <v>0.01</v>
      </c>
      <c r="H31" s="189">
        <v>1.4999999999999999E-2</v>
      </c>
      <c r="I31" s="190">
        <v>0.02</v>
      </c>
      <c r="J31" s="63"/>
      <c r="K31" s="63"/>
      <c r="L31" s="63"/>
      <c r="M31" s="63"/>
    </row>
    <row r="32" spans="2:13" x14ac:dyDescent="0.3">
      <c r="B32" s="63"/>
      <c r="C32" s="215" t="s">
        <v>183</v>
      </c>
      <c r="D32" s="187">
        <f>D33-0.5%</f>
        <v>6.0175100000000002E-2</v>
      </c>
      <c r="E32" s="149">
        <f t="dataTable" ref="E32:I36" dt2D="1" dtr="1" r1="D16" r2="K8" ca="1"/>
        <v>0.38324814684437547</v>
      </c>
      <c r="F32" s="85">
        <v>0.50237569664090032</v>
      </c>
      <c r="G32" s="184">
        <v>0.64524561063730246</v>
      </c>
      <c r="H32" s="85">
        <v>0.81974133486907763</v>
      </c>
      <c r="I32" s="132">
        <v>1.037670858701047</v>
      </c>
      <c r="J32" s="63"/>
      <c r="K32" s="63"/>
      <c r="L32" s="63"/>
      <c r="M32" s="63"/>
    </row>
    <row r="33" spans="2:13" x14ac:dyDescent="0.3">
      <c r="B33" s="63"/>
      <c r="C33" s="215"/>
      <c r="D33" s="187">
        <f>D34-0.5%</f>
        <v>6.51751E-2</v>
      </c>
      <c r="E33" s="85">
        <v>0.26242102522917288</v>
      </c>
      <c r="F33" s="85">
        <v>0.36127386676070533</v>
      </c>
      <c r="G33" s="184">
        <v>0.47804291352458644</v>
      </c>
      <c r="H33" s="85">
        <v>0.61808427001258959</v>
      </c>
      <c r="I33" s="132">
        <v>0.78912530474989473</v>
      </c>
      <c r="J33" s="63"/>
      <c r="K33" s="63"/>
      <c r="L33" s="63"/>
      <c r="M33" s="63"/>
    </row>
    <row r="34" spans="2:13" x14ac:dyDescent="0.3">
      <c r="B34" s="63"/>
      <c r="C34" s="215"/>
      <c r="D34" s="187">
        <v>7.0175100000000004E-2</v>
      </c>
      <c r="E34" s="184">
        <v>0.15991221182488358</v>
      </c>
      <c r="F34" s="184">
        <v>0.24300802340522412</v>
      </c>
      <c r="G34" s="184">
        <v>0.33991283764286645</v>
      </c>
      <c r="H34" s="184">
        <v>0.45438079435558237</v>
      </c>
      <c r="I34" s="185">
        <v>0.59166244884124108</v>
      </c>
      <c r="J34" s="63"/>
      <c r="K34" s="63"/>
      <c r="L34" s="63"/>
      <c r="M34" s="63"/>
    </row>
    <row r="35" spans="2:13" x14ac:dyDescent="0.3">
      <c r="B35" s="63"/>
      <c r="C35" s="215"/>
      <c r="D35" s="187">
        <f>D34+0.5%</f>
        <v>7.5175100000000009E-2</v>
      </c>
      <c r="E35" s="85">
        <v>7.205004682208685E-2</v>
      </c>
      <c r="F35" s="85">
        <v>0.14267908828532325</v>
      </c>
      <c r="G35" s="184">
        <v>0.22414494341869398</v>
      </c>
      <c r="H35" s="85">
        <v>0.31914893228734209</v>
      </c>
      <c r="I35" s="132">
        <v>0.4313715558061586</v>
      </c>
      <c r="J35" s="63"/>
      <c r="K35" s="63"/>
      <c r="L35" s="63"/>
      <c r="M35" s="63"/>
    </row>
    <row r="36" spans="2:13" ht="15" thickBot="1" x14ac:dyDescent="0.35">
      <c r="B36" s="63"/>
      <c r="C36" s="216"/>
      <c r="D36" s="188">
        <f>D35+0.5%</f>
        <v>8.0175100000000013E-2</v>
      </c>
      <c r="E36" s="150">
        <v>-3.9202896436499168E-3</v>
      </c>
      <c r="F36" s="150">
        <v>5.6692356754751157E-2</v>
      </c>
      <c r="G36" s="186">
        <v>0.1259423469401077</v>
      </c>
      <c r="H36" s="150">
        <v>0.20581755905613378</v>
      </c>
      <c r="I36" s="143">
        <v>0.29896656915770997</v>
      </c>
      <c r="J36" s="63"/>
      <c r="K36" s="63"/>
      <c r="L36" s="63"/>
      <c r="M36" s="63"/>
    </row>
    <row r="38" spans="2:13" ht="15" thickBot="1" x14ac:dyDescent="0.35"/>
    <row r="39" spans="2:13" x14ac:dyDescent="0.3">
      <c r="C39" s="210" t="s">
        <v>211</v>
      </c>
      <c r="D39" s="211"/>
      <c r="E39" s="211"/>
      <c r="F39" s="211"/>
      <c r="G39" s="211"/>
      <c r="H39" s="211"/>
      <c r="I39" s="212"/>
    </row>
    <row r="40" spans="2:13" x14ac:dyDescent="0.3">
      <c r="C40" s="131"/>
      <c r="D40" s="63"/>
      <c r="E40" s="213" t="s">
        <v>299</v>
      </c>
      <c r="F40" s="213"/>
      <c r="G40" s="213"/>
      <c r="H40" s="213"/>
      <c r="I40" s="214"/>
    </row>
    <row r="41" spans="2:13" x14ac:dyDescent="0.3">
      <c r="C41" s="131"/>
      <c r="D41" s="148">
        <f>G25</f>
        <v>0.26556835825700525</v>
      </c>
      <c r="E41" s="198">
        <v>16</v>
      </c>
      <c r="F41" s="198">
        <v>17</v>
      </c>
      <c r="G41" s="198">
        <v>18</v>
      </c>
      <c r="H41" s="198">
        <v>19</v>
      </c>
      <c r="I41" s="199">
        <v>20</v>
      </c>
    </row>
    <row r="42" spans="2:13" x14ac:dyDescent="0.3">
      <c r="C42" s="215" t="s">
        <v>183</v>
      </c>
      <c r="D42" s="187">
        <f>D43-0.5%</f>
        <v>6.0175100000000002E-2</v>
      </c>
      <c r="E42" s="149">
        <f t="dataTable" ref="E42:I46" dt2D="1" dtr="1" r1="G15" r2="K8"/>
        <v>0.18707411715871247</v>
      </c>
      <c r="F42" s="85">
        <v>0.25231075077094811</v>
      </c>
      <c r="G42" s="184">
        <v>0.31754738438318403</v>
      </c>
      <c r="H42" s="85">
        <v>0.3827840179954195</v>
      </c>
      <c r="I42" s="132">
        <v>0.44802065160765547</v>
      </c>
    </row>
    <row r="43" spans="2:13" x14ac:dyDescent="0.3">
      <c r="C43" s="215"/>
      <c r="D43" s="187">
        <f>D44-0.5%</f>
        <v>6.51751E-2</v>
      </c>
      <c r="E43" s="85">
        <v>0.16383780852470015</v>
      </c>
      <c r="F43" s="85">
        <v>0.227482716365282</v>
      </c>
      <c r="G43" s="184">
        <v>0.29112762420586386</v>
      </c>
      <c r="H43" s="85">
        <v>0.35477253204644521</v>
      </c>
      <c r="I43" s="132">
        <v>0.41841743988702707</v>
      </c>
    </row>
    <row r="44" spans="2:13" x14ac:dyDescent="0.3">
      <c r="C44" s="215"/>
      <c r="D44" s="187">
        <v>7.0175100000000004E-2</v>
      </c>
      <c r="E44" s="184">
        <v>0.14137015681259604</v>
      </c>
      <c r="F44" s="184">
        <v>0.20346935910020478</v>
      </c>
      <c r="G44" s="184">
        <v>0.26556856138781371</v>
      </c>
      <c r="H44" s="184">
        <v>0.32766776367542261</v>
      </c>
      <c r="I44" s="185">
        <v>0.38976696596303101</v>
      </c>
    </row>
    <row r="45" spans="2:13" x14ac:dyDescent="0.3">
      <c r="C45" s="215"/>
      <c r="D45" s="187">
        <f>D44+0.5%</f>
        <v>7.5175100000000009E-2</v>
      </c>
      <c r="E45" s="85">
        <v>0.11964697202467864</v>
      </c>
      <c r="F45" s="85">
        <v>0.18024495266590998</v>
      </c>
      <c r="G45" s="184">
        <v>0.24084293330714113</v>
      </c>
      <c r="H45" s="85">
        <v>0.3014409139483723</v>
      </c>
      <c r="I45" s="132">
        <v>0.36203889458960331</v>
      </c>
    </row>
    <row r="46" spans="2:13" ht="15" thickBot="1" x14ac:dyDescent="0.35">
      <c r="C46" s="216"/>
      <c r="D46" s="188">
        <f>D45+0.5%</f>
        <v>8.0175100000000013E-2</v>
      </c>
      <c r="E46" s="150">
        <v>9.8644997069812473E-2</v>
      </c>
      <c r="F46" s="150">
        <v>0.15778476175270556</v>
      </c>
      <c r="G46" s="186">
        <v>0.21692452643559862</v>
      </c>
      <c r="H46" s="150">
        <v>0.27606429111849173</v>
      </c>
      <c r="I46" s="143">
        <v>0.33520405580138429</v>
      </c>
    </row>
  </sheetData>
  <mergeCells count="10">
    <mergeCell ref="C39:I39"/>
    <mergeCell ref="E40:I40"/>
    <mergeCell ref="C42:C46"/>
    <mergeCell ref="C32:C36"/>
    <mergeCell ref="J2:K2"/>
    <mergeCell ref="J11:K11"/>
    <mergeCell ref="C14:D14"/>
    <mergeCell ref="F14:G14"/>
    <mergeCell ref="C29:I29"/>
    <mergeCell ref="E30:I30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1"/>
  <sheetViews>
    <sheetView showGridLines="0" workbookViewId="0">
      <selection activeCell="A6" sqref="A6:XFD6"/>
    </sheetView>
    <sheetView showGridLines="0" workbookViewId="1"/>
  </sheetViews>
  <sheetFormatPr defaultColWidth="8.77734375" defaultRowHeight="14.4" x14ac:dyDescent="0.3"/>
  <cols>
    <col min="1" max="1" width="26.77734375" bestFit="1" customWidth="1"/>
    <col min="2" max="2" width="7.6640625" bestFit="1" customWidth="1"/>
    <col min="3" max="3" width="12.77734375" bestFit="1" customWidth="1"/>
    <col min="4" max="4" width="9.44140625" bestFit="1" customWidth="1"/>
    <col min="5" max="5" width="9.77734375" bestFit="1" customWidth="1"/>
    <col min="6" max="6" width="18.77734375" bestFit="1" customWidth="1"/>
    <col min="7" max="7" width="19.44140625" bestFit="1" customWidth="1"/>
    <col min="8" max="8" width="6.77734375" bestFit="1" customWidth="1"/>
    <col min="9" max="9" width="14" bestFit="1" customWidth="1"/>
    <col min="10" max="10" width="14.44140625" bestFit="1" customWidth="1"/>
    <col min="11" max="11" width="19.6640625" bestFit="1" customWidth="1"/>
  </cols>
  <sheetData>
    <row r="1" spans="1:11" s="40" customFormat="1" x14ac:dyDescent="0.3">
      <c r="A1" s="171" t="s">
        <v>216</v>
      </c>
      <c r="B1" s="172" t="s">
        <v>217</v>
      </c>
      <c r="C1" s="172" t="s">
        <v>218</v>
      </c>
      <c r="D1" s="172" t="s">
        <v>219</v>
      </c>
      <c r="E1" s="172" t="s">
        <v>220</v>
      </c>
      <c r="F1" s="172" t="s">
        <v>221</v>
      </c>
      <c r="G1" s="172" t="s">
        <v>222</v>
      </c>
      <c r="H1" s="172" t="s">
        <v>223</v>
      </c>
      <c r="I1" s="172" t="s">
        <v>224</v>
      </c>
      <c r="J1" s="172" t="s">
        <v>225</v>
      </c>
      <c r="K1" s="173" t="s">
        <v>226</v>
      </c>
    </row>
    <row r="2" spans="1:11" x14ac:dyDescent="0.3">
      <c r="A2" s="142" t="s">
        <v>227</v>
      </c>
      <c r="B2" s="45" t="s">
        <v>228</v>
      </c>
      <c r="C2" s="174" t="s">
        <v>233</v>
      </c>
      <c r="D2" s="174" t="s">
        <v>239</v>
      </c>
      <c r="E2" s="174" t="s">
        <v>242</v>
      </c>
      <c r="F2" s="174" t="s">
        <v>236</v>
      </c>
      <c r="G2" s="174" t="s">
        <v>245</v>
      </c>
      <c r="H2" s="174" t="s">
        <v>248</v>
      </c>
      <c r="I2" s="174" t="s">
        <v>251</v>
      </c>
      <c r="J2" s="174" t="s">
        <v>254</v>
      </c>
      <c r="K2" s="175" t="s">
        <v>257</v>
      </c>
    </row>
    <row r="3" spans="1:11" x14ac:dyDescent="0.3">
      <c r="A3" s="142" t="s">
        <v>229</v>
      </c>
      <c r="B3" s="45" t="s">
        <v>230</v>
      </c>
      <c r="C3" s="174" t="s">
        <v>234</v>
      </c>
      <c r="D3" s="174" t="s">
        <v>240</v>
      </c>
      <c r="E3" s="174" t="s">
        <v>243</v>
      </c>
      <c r="F3" s="174" t="s">
        <v>237</v>
      </c>
      <c r="G3" s="174" t="s">
        <v>246</v>
      </c>
      <c r="H3" s="174" t="s">
        <v>249</v>
      </c>
      <c r="I3" s="174" t="s">
        <v>252</v>
      </c>
      <c r="J3" s="174" t="s">
        <v>255</v>
      </c>
      <c r="K3" s="175" t="s">
        <v>258</v>
      </c>
    </row>
    <row r="4" spans="1:11" x14ac:dyDescent="0.3">
      <c r="A4" s="142" t="s">
        <v>231</v>
      </c>
      <c r="B4" s="45" t="s">
        <v>232</v>
      </c>
      <c r="C4" s="174" t="s">
        <v>235</v>
      </c>
      <c r="D4" s="174" t="s">
        <v>241</v>
      </c>
      <c r="E4" s="174" t="s">
        <v>244</v>
      </c>
      <c r="F4" s="174" t="s">
        <v>238</v>
      </c>
      <c r="G4" s="174" t="s">
        <v>247</v>
      </c>
      <c r="H4" s="174" t="s">
        <v>250</v>
      </c>
      <c r="I4" s="174" t="s">
        <v>253</v>
      </c>
      <c r="J4" s="174" t="s">
        <v>256</v>
      </c>
      <c r="K4" s="175" t="s">
        <v>259</v>
      </c>
    </row>
    <row r="5" spans="1:11" x14ac:dyDescent="0.3">
      <c r="A5" s="180" t="s">
        <v>270</v>
      </c>
      <c r="B5" s="181" t="s">
        <v>260</v>
      </c>
      <c r="C5" s="182" t="s">
        <v>261</v>
      </c>
      <c r="D5" s="182" t="s">
        <v>262</v>
      </c>
      <c r="E5" s="182" t="s">
        <v>263</v>
      </c>
      <c r="F5" s="182" t="s">
        <v>264</v>
      </c>
      <c r="G5" s="182" t="s">
        <v>265</v>
      </c>
      <c r="H5" s="182" t="s">
        <v>266</v>
      </c>
      <c r="I5" s="182" t="s">
        <v>267</v>
      </c>
      <c r="J5" s="182" t="s">
        <v>268</v>
      </c>
      <c r="K5" s="183" t="s">
        <v>269</v>
      </c>
    </row>
    <row r="6" spans="1:11" ht="15" thickBot="1" x14ac:dyDescent="0.35">
      <c r="A6" s="176" t="s">
        <v>271</v>
      </c>
      <c r="B6" s="177"/>
      <c r="C6" s="178"/>
      <c r="D6" s="178" t="s">
        <v>272</v>
      </c>
      <c r="E6" s="178" t="s">
        <v>273</v>
      </c>
      <c r="F6" s="178" t="s">
        <v>274</v>
      </c>
      <c r="G6" s="178" t="s">
        <v>275</v>
      </c>
      <c r="H6" s="178" t="s">
        <v>276</v>
      </c>
      <c r="I6" s="178" t="s">
        <v>267</v>
      </c>
      <c r="J6" s="178" t="s">
        <v>277</v>
      </c>
      <c r="K6" s="179" t="s">
        <v>278</v>
      </c>
    </row>
    <row r="7" spans="1:11" x14ac:dyDescent="0.3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</row>
    <row r="8" spans="1:11" x14ac:dyDescent="0.3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</row>
    <row r="9" spans="1:11" x14ac:dyDescent="0.3">
      <c r="A9" s="63"/>
      <c r="B9" s="63"/>
      <c r="C9" s="63"/>
      <c r="D9" s="63"/>
      <c r="E9" s="63"/>
      <c r="F9" s="63"/>
      <c r="G9" s="63"/>
      <c r="H9" s="63"/>
      <c r="I9" s="63"/>
      <c r="J9" s="63"/>
      <c r="K9" s="63"/>
    </row>
    <row r="10" spans="1:11" x14ac:dyDescent="0.3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</row>
    <row r="11" spans="1:11" x14ac:dyDescent="0.3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3"/>
    </row>
    <row r="12" spans="1:11" x14ac:dyDescent="0.3">
      <c r="A12" s="63"/>
      <c r="B12" s="63"/>
      <c r="C12" s="63"/>
      <c r="D12" s="63"/>
      <c r="E12" s="63"/>
      <c r="F12" s="63"/>
      <c r="G12" s="63"/>
      <c r="H12" s="63"/>
      <c r="I12" s="63"/>
      <c r="J12" s="63"/>
      <c r="K12" s="63"/>
    </row>
    <row r="13" spans="1:11" x14ac:dyDescent="0.3">
      <c r="A13" s="63"/>
      <c r="B13" s="63"/>
      <c r="C13" s="63"/>
      <c r="D13" s="63"/>
      <c r="E13" s="63"/>
      <c r="F13" s="63"/>
      <c r="G13" s="63"/>
      <c r="H13" s="63"/>
      <c r="I13" s="63"/>
      <c r="J13" s="63"/>
      <c r="K13" s="63"/>
    </row>
    <row r="14" spans="1:11" x14ac:dyDescent="0.3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</row>
    <row r="15" spans="1:11" x14ac:dyDescent="0.3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</row>
    <row r="16" spans="1:11" x14ac:dyDescent="0.3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</row>
    <row r="17" spans="1:11" x14ac:dyDescent="0.3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</row>
    <row r="18" spans="1:11" x14ac:dyDescent="0.3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</row>
    <row r="19" spans="1:11" x14ac:dyDescent="0.3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</row>
    <row r="20" spans="1:11" x14ac:dyDescent="0.3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</row>
    <row r="21" spans="1:11" x14ac:dyDescent="0.3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 Page</vt:lpstr>
      <vt:lpstr>Income Statement</vt:lpstr>
      <vt:lpstr>Balance Sheet</vt:lpstr>
      <vt:lpstr>Cash Flows</vt:lpstr>
      <vt:lpstr>Revenue Build</vt:lpstr>
      <vt:lpstr>DCF</vt:lpstr>
      <vt:lpstr>Comp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P</cp:lastModifiedBy>
  <dcterms:created xsi:type="dcterms:W3CDTF">2019-08-27T03:10:32Z</dcterms:created>
  <dcterms:modified xsi:type="dcterms:W3CDTF">2024-01-10T22:30:05Z</dcterms:modified>
</cp:coreProperties>
</file>